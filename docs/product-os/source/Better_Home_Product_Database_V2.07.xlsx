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f3a60bc39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0aa07dc22024ef8"/>
    <x:sheet xmlns:r="http://schemas.openxmlformats.org/officeDocument/2006/relationships" name="01_Settings" sheetId="2" r:id="Rd261cc9a8c0d4a25"/>
    <x:sheet xmlns:r="http://schemas.openxmlformats.org/officeDocument/2006/relationships" name="02_Labour_Library" sheetId="3" r:id="R0e74eb2b03a94605"/>
    <x:sheet xmlns:r="http://schemas.openxmlformats.org/officeDocument/2006/relationships" name="03_SKU_Master" sheetId="4" r:id="R7ea05824a6c2464a"/>
    <x:sheet xmlns:r="http://schemas.openxmlformats.org/officeDocument/2006/relationships" name="04_Product_Master" sheetId="5" r:id="Rca975cadbad941d0"/>
    <x:sheet xmlns:r="http://schemas.openxmlformats.org/officeDocument/2006/relationships" name="05_Product_Experiences" sheetId="6" r:id="R7f6e2aaf43104b5d"/>
    <x:sheet xmlns:r="http://schemas.openxmlformats.org/officeDocument/2006/relationships" name="06_Product_Capabilities" sheetId="7" r:id="Rbb83b01f49de4e7f"/>
    <x:sheet xmlns:r="http://schemas.openxmlformats.org/officeDocument/2006/relationships" name="07_Product_BOM" sheetId="8" r:id="Rcf682e83af504fc0"/>
    <x:sheet xmlns:r="http://schemas.openxmlformats.org/officeDocument/2006/relationships" name="08_Product_Labour" sheetId="9" r:id="R09e187e2538d4cc9"/>
    <x:sheet xmlns:r="http://schemas.openxmlformats.org/officeDocument/2006/relationships" name="09_Product_Rules" sheetId="10" r:id="R4b83a87cb7104289"/>
    <x:sheet xmlns:r="http://schemas.openxmlformats.org/officeDocument/2006/relationships" name="10_Pricing_Summary" sheetId="11" r:id="R25ded8f267384fe2"/>
    <x:sheet xmlns:r="http://schemas.openxmlformats.org/officeDocument/2006/relationships" name="11_Add_Ons" sheetId="12" r:id="R715d0e7e288e4963"/>
    <x:sheet xmlns:r="http://schemas.openxmlformats.org/officeDocument/2006/relationships" name="12_Product_Card_Content" sheetId="13" r:id="Rae9b27262e034d73"/>
    <x:sheet xmlns:r="http://schemas.openxmlformats.org/officeDocument/2006/relationships" name="13_Roadmap" sheetId="14" r:id="Rfbd03bec81b6495c"/>
    <x:sheet xmlns:r="http://schemas.openxmlformats.org/officeDocument/2006/relationships" name="14_Content_Library" sheetId="15" r:id="Rfaecb9549dff43ad"/>
    <x:sheet xmlns:r="http://schemas.openxmlformats.org/officeDocument/2006/relationships" name="15_Icon_Library" sheetId="16" r:id="R91bb6d6814594576"/>
    <x:sheet xmlns:r="http://schemas.openxmlformats.org/officeDocument/2006/relationships" name="16_Image_Library" sheetId="17" r:id="R096b56ce28e94890"/>
    <x:sheet xmlns:r="http://schemas.openxmlformats.org/officeDocument/2006/relationships" name="17_Theme_Library" sheetId="18" r:id="Rce34a0a5b92a4859"/>
    <x:sheet xmlns:r="http://schemas.openxmlformats.org/officeDocument/2006/relationships" name="18_Layout_Config" sheetId="19" r:id="Re9a330eac06c4eb0"/>
    <x:sheet xmlns:r="http://schemas.openxmlformats.org/officeDocument/2006/relationships" name="19_Automation_Library" sheetId="20" r:id="R5b8c0f61e3124f3a"/>
    <x:sheet xmlns:r="http://schemas.openxmlformats.org/officeDocument/2006/relationships" name="20_Product_Review" sheetId="21" r:id="R1f7aac49d5e44eea"/>
    <x:sheet xmlns:r="http://schemas.openxmlformats.org/officeDocument/2006/relationships" name="CHANGELOG" sheetId="22" r:id="R273f3b3102e14240"/>
  </x:sheets>
</x:workbook>
</file>

<file path=xl/sharedStrings.xml><?xml version="1.0" encoding="utf-8"?>
<x:sst xmlns:x="http://schemas.openxmlformats.org/spreadsheetml/2006/main">
  <x:si>
    <x:t xml:space="preserve">Parameter</x:t>
  </x:si>
  <x:si>
    <x:t xml:space="preserve">Value</x:t>
  </x:si>
  <x:si>
    <x:t xml:space="preserve">Unit</x:t>
  </x:si>
  <x:si>
    <x:t xml:space="preserve">Notes</x:t>
  </x:si>
  <x:si>
    <x:t xml:space="preserve">Internal Labour Rate</x:t>
  </x:si>
  <x:si>
    <x:t xml:space="preserve">$/hour</x:t>
  </x:si>
  <x:si>
    <x:t xml:space="preserve">Technician labour cost before overhead</x:t>
  </x:si>
  <x:si>
    <x:t xml:space="preserve">Company Overhead</x:t>
  </x:si>
  <x:si>
    <x:t xml:space="preserve">$/day</x:t>
  </x:si>
  <x:si>
    <x:t xml:space="preserve">Daily fixed cost allocation</x:t>
  </x:si>
  <x:si>
    <x:t xml:space="preserve">Working Hours Per Day</x:t>
  </x:si>
  <x:si>
    <x:t xml:space="preserve">hours</x:t>
  </x:si>
  <x:si>
    <x:t xml:space="preserve">Used to calculate hourly overhead</x:t>
  </x:si>
  <x:si>
    <x:t xml:space="preserve">Overhead Rate</x:t>
  </x:si>
  <x:si>
    <x:t xml:space="preserve">Auto</x:t>
  </x:si>
  <x:si>
    <x:t xml:space="preserve">Loaded Labour Rate</x:t>
  </x:si>
  <x:si>
    <x:t xml:space="preserve">Used by all product labour cost calculations</x:t>
  </x:si>
  <x:si>
    <x:t xml:space="preserve">GST</x:t>
  </x:si>
  <x:si>
    <x:t xml:space="preserve">%</x:t>
  </x:si>
  <x:si>
    <x:t xml:space="preserve">Reference only; all cost inputs are ex-GST</x:t>
  </x:si>
  <x:si>
    <x:t xml:space="preserve">Default Target Gross Margin</x:t>
  </x:si>
  <x:si>
    <x:t xml:space="preserve">Leave blank until pricing policy is final</x:t>
  </x:si>
  <x:si>
    <x:t xml:space="preserve">Product ID</x:t>
  </x:si>
  <x:si>
    <x:t xml:space="preserve">Section</x:t>
  </x:si>
  <x:si>
    <x:t xml:space="preserve">Sequence</x:t>
  </x:si>
  <x:si>
    <x:t xml:space="preserve">Text</x:t>
  </x:si>
  <x:si>
    <x:t xml:space="preserve">Legacy Note</x:t>
  </x:si>
  <x:si>
    <x:t xml:space="preserve">C-02</x:t>
  </x:si>
  <x:si>
    <x:t xml:space="preserve">Front Moment</x:t>
  </x:si>
  <x:si>
    <x:t xml:space="preserve">Together</x:t>
  </x:si>
  <x:si>
    <x:t xml:space="preserve">Use 14_Content_Library going forward.</x:t>
  </x:si>
  <x:si>
    <x:t xml:space="preserve">Movie Night</x:t>
  </x:si>
  <x:si>
    <x:t xml:space="preserve">Reading</x:t>
  </x:si>
  <x:si>
    <x:t xml:space="preserve">Relax</x:t>
  </x:si>
  <x:si>
    <x:t xml:space="preserve">Closing Quote</x:t>
  </x:si>
  <x:si>
    <x:t xml:space="preserve">Technology should quietly support everyday life.</x:t>
  </x:si>
  <x:si>
    <x:t xml:space="preserve">Footer</x:t>
  </x:si>
  <x:si>
    <x:t xml:space="preserve">Part of the Better Home Residential Operating System</x:t>
  </x:si>
  <x:si>
    <x:t xml:space="preserve">C-04</x:t>
  </x:si>
  <x:si>
    <x:t xml:space="preserve">Good Night</x:t>
  </x:si>
  <x:si>
    <x:t xml:space="preserve">Sleep Comfort</x:t>
  </x:si>
  <x:si>
    <x:t xml:space="preserve">Night Path</x:t>
  </x:si>
  <x:si>
    <x:t xml:space="preserve">Gentle Wake</x:t>
  </x:si>
  <x:si>
    <x:t xml:space="preserve">The world can wait until morning.</x:t>
  </x:si>
  <x:si>
    <x:t xml:space="preserve">C-06</x:t>
  </x:si>
  <x:si>
    <x:t xml:space="preserve">Leave with Confidence</x:t>
  </x:si>
  <x:si>
    <x:t xml:space="preserve">Home Check</x:t>
  </x:si>
  <x:si>
    <x:t xml:space="preserve">Holiday Mode</x:t>
  </x:si>
  <x:si>
    <x:t xml:space="preserve">Return Home</x:t>
  </x:si>
</x:sst>
</file>

<file path=xl/styles.xml><?xml version="1.0" encoding="utf-8"?>
<x:styleSheet xmlns:x="http://schemas.openxmlformats.org/spreadsheetml/2006/main">
  <x:numFmts count="9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\$#,##0.00"/>
    <x:numFmt numFmtId="177" formatCode="0.0%"/>
    <x:numFmt numFmtId="178" formatCode="\$#,##0"/>
    <x:numFmt numFmtId="200" formatCode="&quot;$&quot;#,##0.00"/>
    <x:numFmt numFmtId="201" formatCode="&quot;$&quot;#,##0"/>
  </x:numFmts>
  <x:fonts count="2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6C7A5C"/>
      </x:patternFill>
    </x:fill>
    <x:fill>
      <x:patternFill patternType="solid">
        <x:fgColor rgb="FF1F293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4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6" borderId="4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0" fillId="0" borderId="0"/>
  </x:cellStyleXfs>
  <x:cellXfs count="29">
    <x:xf numFmtId="0" fontId="0" fillId="0" borderId="0" xfId="49"/>
    <x:xf numFmtId="0" fontId="1" fillId="2" borderId="0" xfId="49" applyFont="1" applyFill="1" applyAlignment="1">
      <x:alignment wrapText="1"/>
    </x:xf>
    <x:xf numFmtId="0" fontId="1" fillId="2" borderId="0" xfId="49" applyFont="1" applyFill="1" applyAlignment="1">
      <x:alignment horizontal="center" vertical="center" wrapText="1"/>
    </x:xf>
    <x:xf numFmtId="0" fontId="1" fillId="2" borderId="0" xfId="49" applyFont="1" applyFill="1" applyAlignment="1">
      <x:alignment horizontal="center" vertical="center"/>
    </x:xf>
    <x:xf numFmtId="0" fontId="0" fillId="0" borderId="0" xfId="49" applyAlignment="1">
      <x:alignment wrapText="1"/>
    </x:xf>
    <x:xf numFmtId="0" fontId="1" fillId="3" borderId="0" xfId="49" applyFont="1" applyFill="1" applyAlignment="1">
      <x:alignment horizontal="center" vertical="center" wrapText="1"/>
    </x:xf>
    <x:xf numFmtId="176" fontId="0" fillId="0" borderId="0" xfId="49" applyNumberFormat="1" applyAlignment="1">
      <x:alignment wrapText="1"/>
    </x:xf>
    <x:xf numFmtId="177" fontId="0" fillId="0" borderId="0" xfId="49" applyNumberFormat="1" applyAlignment="1">
      <x:alignment wrapText="1"/>
    </x:xf>
    <x:xf numFmtId="2" fontId="0" fillId="0" borderId="0" xfId="49" applyNumberFormat="1" applyAlignment="1">
      <x:alignment wrapText="1"/>
    </x:xf>
    <x:xf numFmtId="2" fontId="0" fillId="0" borderId="0" xfId="49" applyNumberFormat="1"/>
    <x:xf numFmtId="176" fontId="0" fillId="0" borderId="0" xfId="49" applyNumberFormat="1"/>
    <x:xf numFmtId="178" fontId="0" fillId="0" borderId="0" xfId="49" applyNumberFormat="1" applyAlignment="1">
      <x:alignment wrapText="1"/>
    </x:xf>
    <x:xf numFmtId="178" fontId="0" fillId="0" borderId="0" xfId="49" applyNumberFormat="1"/>
    <x:xf numFmtId="10" fontId="0" fillId="0" borderId="0" xfId="49" applyNumberFormat="1" applyAlignment="1">
      <x:alignment wrapText="1"/>
    </x:xf>
    <x:xf numFmtId="0" fontId="2" fillId="2" borderId="0" xfId="49" applyFont="1" applyFill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" fontId="0" fillId="0" borderId="0" xfId="0" applyNumberFormat="1" applyFont="1" applyFill="1" applyBorder="1" applyAlignment="1">
      <x:alignment wrapText="1"/>
    </x:xf>
    <x:xf numFmtId="176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178" fontId="0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49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2467bb6b54acc" /><Relationship Type="http://schemas.openxmlformats.org/officeDocument/2006/relationships/theme" Target="/xl/theme/theme1.xml" Id="Rac44b117df614b78" /><Relationship Type="http://schemas.microsoft.com/office/2022/11/relationships/FeaturePropertyBag" Target="/xl/featurePropertyBag/featurePropertyBag.xml" Id="Re1732e6f10714e52" /><Relationship Type="http://schemas.openxmlformats.org/officeDocument/2006/relationships/sharedStrings" Target="/xl/sharedStrings.xml" Id="Rcc9edd195f7241cd" /><Relationship Type="http://schemas.openxmlformats.org/officeDocument/2006/relationships/worksheet" Target="/xl/worksheets/sheet1.xml" Id="Rc0aa07dc22024ef8" /><Relationship Type="http://schemas.openxmlformats.org/officeDocument/2006/relationships/worksheet" Target="/xl/worksheets/sheet2.xml" Id="Rd261cc9a8c0d4a25" /><Relationship Type="http://schemas.openxmlformats.org/officeDocument/2006/relationships/worksheet" Target="/xl/worksheets/sheet3.xml" Id="R0e74eb2b03a94605" /><Relationship Type="http://schemas.openxmlformats.org/officeDocument/2006/relationships/worksheet" Target="/xl/worksheets/sheet4.xml" Id="R7ea05824a6c2464a" /><Relationship Type="http://schemas.openxmlformats.org/officeDocument/2006/relationships/worksheet" Target="/xl/worksheets/sheet5.xml" Id="Rca975cadbad941d0" /><Relationship Type="http://schemas.openxmlformats.org/officeDocument/2006/relationships/worksheet" Target="/xl/worksheets/sheet6.xml" Id="R7f6e2aaf43104b5d" /><Relationship Type="http://schemas.openxmlformats.org/officeDocument/2006/relationships/worksheet" Target="/xl/worksheets/sheet7.xml" Id="Rbb83b01f49de4e7f" /><Relationship Type="http://schemas.openxmlformats.org/officeDocument/2006/relationships/worksheet" Target="/xl/worksheets/sheet8.xml" Id="Rcf682e83af504fc0" /><Relationship Type="http://schemas.openxmlformats.org/officeDocument/2006/relationships/worksheet" Target="/xl/worksheets/sheet9.xml" Id="R09e187e2538d4cc9" /><Relationship Type="http://schemas.openxmlformats.org/officeDocument/2006/relationships/worksheet" Target="/xl/worksheets/sheet10.xml" Id="R4b83a87cb7104289" /><Relationship Type="http://schemas.openxmlformats.org/officeDocument/2006/relationships/worksheet" Target="/xl/worksheets/sheet11.xml" Id="R25ded8f267384fe2" /><Relationship Type="http://schemas.openxmlformats.org/officeDocument/2006/relationships/worksheet" Target="/xl/worksheets/sheet12.xml" Id="R715d0e7e288e4963" /><Relationship Type="http://schemas.openxmlformats.org/officeDocument/2006/relationships/worksheet" Target="/xl/worksheets/sheet13.xml" Id="Rae9b27262e034d73" /><Relationship Type="http://schemas.openxmlformats.org/officeDocument/2006/relationships/worksheet" Target="/xl/worksheets/sheet14.xml" Id="Rfbd03bec81b6495c" /><Relationship Type="http://schemas.openxmlformats.org/officeDocument/2006/relationships/worksheet" Target="/xl/worksheets/sheet15.xml" Id="Rfaecb9549dff43ad" /><Relationship Type="http://schemas.openxmlformats.org/officeDocument/2006/relationships/worksheet" Target="/xl/worksheets/sheet16.xml" Id="R91bb6d6814594576" /><Relationship Type="http://schemas.openxmlformats.org/officeDocument/2006/relationships/worksheet" Target="/xl/worksheets/sheet17.xml" Id="R096b56ce28e94890" /><Relationship Type="http://schemas.openxmlformats.org/officeDocument/2006/relationships/worksheet" Target="/xl/worksheets/sheet18.xml" Id="Rce34a0a5b92a4859" /><Relationship Type="http://schemas.openxmlformats.org/officeDocument/2006/relationships/worksheet" Target="/xl/worksheets/sheet19.xml" Id="Re9a330eac06c4eb0" /><Relationship Type="http://schemas.openxmlformats.org/officeDocument/2006/relationships/worksheet" Target="/xl/worksheets/sheet20.xml" Id="R5b8c0f61e3124f3a" /><Relationship Type="http://schemas.openxmlformats.org/officeDocument/2006/relationships/worksheet" Target="/xl/worksheets/sheet21.xml" Id="R1f7aac49d5e44eea" /><Relationship Type="http://schemas.openxmlformats.org/officeDocument/2006/relationships/worksheet" Target="/xl/worksheets/sheet22.xml" Id="R273f3b3102e142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0" name="00ReadMeTable" displayName="00ReadMeTable" ref="A1:B12" headerRowCount="1" totalsRowCount="0" totalsRowShown="0">
  <x:tableColumns count="2">
    <x:tableColumn id="1" name="Better Home&#10;Product Database&#10;V2.07"/>
    <x:tableColumn id="2" name="Frozen Product OS for A4 sales-sheet gene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ttingsTable" displayName="SettingsTable" ref="A1:D8">
  <x:tableColumns count="4">
    <x:tableColumn id="1" name="Parameter"/>
    <x:tableColumn id="2" name="Value"/>
    <x:tableColumn id="3" name="Unit"/>
    <x:tableColumn id="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1" name="LabourLibraryTable" displayName="LabourLibraryTable" ref="A1:D37" headerRowCount="1" totalsRowCount="0" totalsRowShown="0">
  <x:tableColumns count="4">
    <x:tableColumn id="1" name="Labour Item"/>
    <x:tableColumn id="2" name="Hours"/>
    <x:tableColumn id="3" name="Category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2" name="SKUMasterTable" displayName="SKUMasterTable" ref="A1:G50" headerRowCount="1" totalsRowCount="0" totalsRowShown="0">
  <x:tableColumns count="7">
    <x:tableColumn id="1" name="SKU"/>
    <x:tableColumn id="2" name="Product"/>
    <x:tableColumn id="3" name="Capability Category"/>
    <x:tableColumn id="4" name="Unit Cost ex GST"/>
    <x:tableColumn id="5" name="Supplier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3" name="ProductMasterTable" displayName="ProductMasterTable" ref="A1:N15" headerRowCount="1" totalsRowCount="0" totalsRowShown="0">
  <x:tableColumns count="14">
    <x:tableColumn id="1" name="Product ID"/>
    <x:tableColumn id="2" name="Code"/>
    <x:tableColumn id="3" name="Type"/>
    <x:tableColumn id="4" name="Name"/>
    <x:tableColumn id="5" name="Version"/>
    <x:tableColumn id="6" name="Status"/>
    <x:tableColumn id="7" name="Core Value"/>
    <x:tableColumn id="8" name="Primary Emotion"/>
    <x:tableColumn id="9" name="Coverage"/>
    <x:tableColumn id="10" name="Hero Statement"/>
    <x:tableColumn id="11" name="Subtitle"/>
    <x:tableColumn id="12" name="Accent Colour"/>
    <x:tableColumn id="13" name="Final Customer Price incl GST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4" name="ProductExperiencesTable" displayName="ProductExperiencesTable" ref="A1:E47" headerRowCount="1" totalsRowCount="0" totalsRowShown="0">
  <x:tableColumns count="5">
    <x:tableColumn id="1" name="Product ID"/>
    <x:tableColumn id="2" name="Sequence"/>
    <x:tableColumn id="3" name="Experience Title"/>
    <x:tableColumn id="4" name="Customer-Facing Description"/>
    <x:tableColumn id="5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5" name="ProductCapabilitiesTable" displayName="ProductCapabilitiesTable" ref="A1:E55" headerRowCount="1" totalsRowCount="0" totalsRowShown="0">
  <x:tableColumns count="5">
    <x:tableColumn id="1" name="Product ID"/>
    <x:tableColumn id="2" name="Capability"/>
    <x:tableColumn id="3" name="Included Qty"/>
    <x:tableColumn id="4" name="Customer Layer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6" name="ProductBOMTable" displayName="ProductBOMTable" ref="A1:G68" headerRowCount="1" totalsRowCount="0" totalsRowShown="0">
  <x:tableColumns count="7">
    <x:tableColumn id="1" name="Product ID"/>
    <x:tableColumn id="2" name="SKU"/>
    <x:tableColumn id="3" name="Qty"/>
    <x:tableColumn id="4" name="Unit Cost ex GST"/>
    <x:tableColumn id="5" name="Line Cost"/>
    <x:tableColumn id="6" name="Included / Add-on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7" name="ProductLabourTable" displayName="ProductLabourTable" ref="A1:H88" headerRowCount="1" totalsRowCount="0" totalsRowShown="0">
  <x:tableColumns count="8">
    <x:tableColumn id="1" name="Product ID"/>
    <x:tableColumn id="2" name="Labour Item"/>
    <x:tableColumn id="3" name="Qty"/>
    <x:tableColumn id="4" name="Hours Each"/>
    <x:tableColumn id="5" name="Total Hours"/>
    <x:tableColumn id="6" name="Loaded Rate"/>
    <x:tableColumn id="7" name="Labour Cost"/>
    <x:tableColumn id="8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8" name="ProductRulesTable" displayName="ProductRulesTable" ref="A1:D48" headerRowCount="1" totalsRowCount="0" totalsRowShown="0">
  <x:tableColumns count="4">
    <x:tableColumn id="1" name="Product ID"/>
    <x:tableColumn id="2" name="Rule Key"/>
    <x:tableColumn id="3" name="Rule Value"/>
    <x:tableColumn id="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29" name="PricingSummaryTable" displayName="PricingSummaryTable" ref="A1:K15" headerRowCount="1" totalsRowCount="0" totalsRowShown="0">
  <x:tableColumns count="11">
    <x:tableColumn id="1" name="Product ID"/>
    <x:tableColumn id="2" name="Name"/>
    <x:tableColumn id="3" name="Type"/>
    <x:tableColumn id="4" name="Material Cost ex GST"/>
    <x:tableColumn id="5" name="Labour Cost ex GST"/>
    <x:tableColumn id="6" name="Direct Cost ex GST"/>
    <x:tableColumn id="7" name="Customer Price incl GST"/>
    <x:tableColumn id="8" name="Gross Profit ex GST"/>
    <x:tableColumn id="9" name="Gross Margin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40" name="AddOnsTable" displayName="AddOnsTable" ref="A1:J33" headerRowCount="1" totalsRowCount="0" totalsRowShown="0">
  <x:tableColumns count="10">
    <x:tableColumn id="1" name="Add-on ID"/>
    <x:tableColumn id="2" name="Canonical Product Name"/>
    <x:tableColumn id="3" name="Experience Promise"/>
    <x:tableColumn id="4" name="Parent Product ID"/>
    <x:tableColumn id="5" name="Standard Scope Unit"/>
    <x:tableColumn id="6" name="Default SKU / Capability"/>
    <x:tableColumn id="7" name="Direct Cost Formula Basis"/>
    <x:tableColumn id="8" name="Customer Price incl GST"/>
    <x:tableColumn id="9" name="Status"/>
    <x:tableColumn id="10" name="Installation Assumption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ProductCardContentTable" displayName="ProductCardContentTable" ref="A1:D7">
  <x:tableColumns count="4">
    <x:tableColumn id="1" name="Product ID"/>
    <x:tableColumn id="2" name="Section"/>
    <x:tableColumn id="3" name="Sequence"/>
    <x:tableColumn id="4" name="Tex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31" name="RoadmapTable" displayName="RoadmapTable" ref="A1:D7" headerRowCount="1" totalsRowCount="0" totalsRowShown="0">
  <x:tableColumns count="4">
    <x:tableColumn id="1" name="Phase"/>
    <x:tableColumn id="2" name="Focus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32" name="ContentLibraryTable" displayName="ContentLibraryTable" ref="A1:H57" headerRowCount="1" totalsRowCount="0" totalsRowShown="0">
  <x:tableColumns count="8">
    <x:tableColumn id="1" name="Product ID"/>
    <x:tableColumn id="2" name="Content Type"/>
    <x:tableColumn id="3" name="Content Key"/>
    <x:tableColumn id="4" name="Sequence"/>
    <x:tableColumn id="5" name="Title"/>
    <x:tableColumn id="6" name="Body"/>
    <x:tableColumn id="7" name="Status"/>
    <x:tableColumn id="8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33" name="IconLibraryTable" displayName="IconLibraryTable" ref="A1:F29" headerRowCount="1" totalsRowCount="0" totalsRowShown="0">
  <x:tableColumns count="6">
    <x:tableColumn id="1" name="Product ID"/>
    <x:tableColumn id="2" name="Content Key"/>
    <x:tableColumn id="3" name="Lucide Icon Name"/>
    <x:tableColumn id="4" name="Icon Purpos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34" name="ImageLibraryTable" displayName="ImageLibraryTable" ref="A1:F14" headerRowCount="1" totalsRowCount="0" totalsRowShown="0">
  <x:tableColumns count="6">
    <x:tableColumn id="1" name="Product ID"/>
    <x:tableColumn id="2" name="Image Type"/>
    <x:tableColumn id="3" name="File Path"/>
    <x:tableColumn id="4" name="Alt Text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35" name="ThemeLibraryTable" displayName="ThemeLibraryTable" ref="A1:G15" headerRowCount="1" totalsRowCount="0" totalsRowShown="0">
  <x:tableColumns count="7">
    <x:tableColumn id="1" name="Product ID"/>
    <x:tableColumn id="2" name="Accent Colour"/>
    <x:tableColumn id="3" name="Background Colour"/>
    <x:tableColumn id="4" name="Text Colour"/>
    <x:tableColumn id="5" name="Theme Nam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36" name="LayoutConfigTable" displayName="LayoutConfigTable" ref="A1:I14" headerRowCount="1" totalsRowCount="0" totalsRowShown="0">
  <x:tableColumns count="9">
    <x:tableColumn id="1" name="Product ID"/>
    <x:tableColumn id="2" name="Template"/>
    <x:tableColumn id="3" name="Front Moments Count"/>
    <x:tableColumn id="4" name="Back Experiences Count"/>
    <x:tableColumn id="5" name="Show Price"/>
    <x:tableColumn id="6" name="Show Included"/>
    <x:tableColumn id="7" name="Show Compatible Experience Packs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37" name="AutomationLibraryTable" displayName="AutomationLibraryTable" ref="A1:G22" headerRowCount="1" totalsRowCount="0" totalsRowShown="0">
  <x:tableColumns count="7">
    <x:tableColumn id="1" name="Product ID"/>
    <x:tableColumn id="2" name="Automation Name"/>
    <x:tableColumn id="3" name="Trigger"/>
    <x:tableColumn id="4" name="Condition"/>
    <x:tableColumn id="5" name="Action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38" name="20ProductReviewTable" displayName="20ProductReviewTable" ref="A1:D16" headerRowCount="1" totalsRowCount="0" totalsRowShown="0">
  <x:tableColumns count="4">
    <x:tableColumn id="1" name="Product"/>
    <x:tableColumn id="2" name="Status"/>
    <x:tableColumn id="3" name="Price incl GST"/>
    <x:tableColumn id="4" name="Review 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39" name="CHANGELOGTable" displayName="CHANGELOGTable" ref="A1:C17" headerRowCount="1" totalsRowCount="0" totalsRowShown="0">
  <x:tableColumns count="3">
    <x:tableColumn id="1" name="Version"/>
    <x:tableColumn id="2" name="Product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17e57856343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c046d030e0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f7504ce14043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bbf892333e40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cb7d65a81248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9dce5f3c0843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ce16456733944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9b6eb3ebc1b4b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83214560bb45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70237c8e22b47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7968a1605d346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a0e4789605446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d84d04013ca4d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0fa420841a641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5e3b4d450f544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0bc018dee8e408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e8ac01219e940e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21726e91999a4fd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05b1204e446e4fc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23dc6bab41d4da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67a49f183084e7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acae27c2c4041db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24" customWidth="1"/>
    <x:col min="2" max="2" width="90" customWidth="1"/>
  </x:cols>
  <x:sheetData>
    <x:row r="1" ht="57.599998474121094" hidden="0" customHeight="1">
      <x:c r="A1" s="15" t="str">
        <x:v>Better Home
Product Database
V2.07</x:v>
      </x:c>
      <x:c r="B1" s="16" t="str">
        <x:v>Frozen Product OS for A4 sales-sheet generation</x:v>
      </x:c>
    </x:row>
    <x:row r="2" ht="16.799999237060547" hidden="0" customHeight="1">
      <x:c r="A2" s="16" t="str">
        <x:v>Purpose</x:v>
      </x:c>
      <x:c r="B2" s="16" t="str">
        <x:v>Single source of truth for customer products, scope, BOM, labour, rules, content and pricing.</x:v>
      </x:c>
    </x:row>
    <x:row r="3" ht="16.799999237060547" hidden="0" customHeight="1">
      <x:c r="A3" s="16" t="str">
        <x:v>Pricing Basis</x:v>
      </x:c>
      <x:c r="B3" s="16" t="str">
        <x:v>Customer prices include GST. Hardware and labour costs exclude GST.</x:v>
      </x:c>
    </x:row>
    <x:row r="4" ht="16.799999237060547" hidden="0" customHeight="1">
      <x:c r="A4" s="16" t="str">
        <x:v>Product Boundary</x:v>
      </x:c>
      <x:c r="B4" s="16" t="str">
        <x:v>Every purchasable row supports one clear customer decision.</x:v>
      </x:c>
    </x:row>
    <x:row r="5" ht="16.799999237060547" hidden="0" customHeight="1">
      <x:c r="A5" s="16" t="str">
        <x:v>Add-on Boundary</x:v>
      </x:c>
      <x:c r="B5" s="16" t="str">
        <x:v>Add-ons extend an existing parent capability and do not create a new room or experience.</x:v>
      </x:c>
    </x:row>
    <x:row r="6" ht="16.799999237060547" hidden="0" customHeight="1">
      <x:c r="A6" s="16" t="str">
        <x:v>Foundation</x:v>
      </x:c>
      <x:c r="B6" s="16" t="str">
        <x:v>Required once per Better Home project except standalone Smart Toilet supply.</x:v>
      </x:c>
    </x:row>
    <x:row r="7" ht="16.799999237060547" hidden="0" customHeight="1">
      <x:c r="A7" s="16" t="str">
        <x:v>Protection</x:v>
      </x:c>
      <x:c r="B7" s="16" t="str">
        <x:v>Free Bonus only when Entry + Away + CCTV are all present; not separately purchasable.</x:v>
      </x:c>
    </x:row>
    <x:row r="8" ht="16.799999237060547" hidden="0" customHeight="1">
      <x:c r="A8" s="16" t="str">
        <x:v>A4 Count</x:v>
      </x:c>
      <x:c r="B8" s="16" t="str">
        <x:v>15: Welcome, Foundation, six Collections, Mood, Climate, Healthy Air, Garden Care, CCTV, Smart Toilet and Add-on Guide.</x:v>
      </x:c>
    </x:row>
    <x:row r="9" ht="16.799999237060547" hidden="0" customHeight="1">
      <x:c r="A9" s="16" t="str">
        <x:v>Source Files</x:v>
      </x:c>
      <x:c r="B9" s="16" t="str">
        <x:v>V2.05 workbook plus product decisions frozen through 17 July 2026.</x:v>
      </x:c>
    </x:row>
    <x:row r="10" ht="16.799999237060547" hidden="0" customHeight="1">
      <x:c r="A10" s="16" t="str">
        <x:v>Next Step</x:v>
      </x:c>
      <x:c r="B10" s="16" t="str">
        <x:v>Generate A4 content from Product OS fields; complete first-install reviews for Healthy Air and CCTV event integration.</x:v>
      </x:c>
    </x:row>
    <x:row r="11" ht="16.799999237060547" hidden="0" customHeight="1">
      <x:c r="A11" t="str">
        <x:v>Canonical Hierarchy</x:v>
      </x:c>
      <x:c r="B11" t="str">
        <x:v>Foundation → Collection → Experience → Add-on</x:v>
      </x:c>
    </x:row>
    <x:row r="12" ht="16.799999237060547" hidden="0" customHeight="1">
      <x:c r="A12" t="str">
        <x:v>Add-on Language</x:v>
      </x:c>
      <x:c r="B12" t="str">
        <x:v>Canonical product name + Experience Promise + Standard Scope Unit</x:v>
      </x:c>
    </x:row>
  </x:sheetData>
  <x:pageMargins left="0.7" right="0.7" top="0.75" bottom="0.75" header="0.3" footer="0.3"/>
  <x:tableParts count="1">
    <x:tablePart xmlns:r="http://schemas.openxmlformats.org/officeDocument/2006/relationships" r:id="R54117e578563435a"/>
  </x:tableParts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30" customWidth="1"/>
    <x:col min="2" max="2" width="18" customWidth="1"/>
    <x:col min="3" max="3" width="16" customWidth="1"/>
    <x:col min="4" max="4" width="52" customWidth="1"/>
  </x:cols>
  <x:sheetData>
    <x:row r="1" ht="22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</x:row>
    <x:row r="2" ht="17">
      <x:c r="A2" s="4" t="s">
        <x:v>4</x:v>
      </x:c>
      <x:c r="B2" s="6">
        <x:v>55</x:v>
      </x:c>
      <x:c r="C2" s="4" t="s">
        <x:v>5</x:v>
      </x:c>
      <x:c r="D2" s="4" t="s">
        <x:v>6</x:v>
      </x:c>
    </x:row>
    <x:row r="3" ht="17">
      <x:c r="A3" s="4" t="s">
        <x:v>7</x:v>
      </x:c>
      <x:c r="B3" s="6">
        <x:v>220</x:v>
      </x:c>
      <x:c r="C3" s="4" t="s">
        <x:v>8</x:v>
      </x:c>
      <x:c r="D3" s="4" t="s">
        <x:v>9</x:v>
      </x:c>
    </x:row>
    <x:row r="4" ht="17">
      <x:c r="A4" s="4" t="s">
        <x:v>10</x:v>
      </x:c>
      <x:c r="B4" s="6">
        <x:v>8</x:v>
      </x:c>
      <x:c r="C4" s="4" t="s">
        <x:v>11</x:v>
      </x:c>
      <x:c r="D4" s="4" t="s">
        <x:v>12</x:v>
      </x:c>
    </x:row>
    <x:row r="5" ht="17">
      <x:c r="A5" s="4" t="s">
        <x:v>13</x:v>
      </x:c>
      <x:c r="B5" s="6" t="n">
        <x:f>B3/B4</x:f>
        <x:v>27.5</x:v>
      </x:c>
      <x:c r="C5" s="4" t="s">
        <x:v>5</x:v>
      </x:c>
      <x:c r="D5" s="4" t="s">
        <x:v>14</x:v>
      </x:c>
    </x:row>
    <x:row r="6" ht="17">
      <x:c r="A6" s="4" t="s">
        <x:v>15</x:v>
      </x:c>
      <x:c r="B6" s="6" t="n">
        <x:f>B2+B5</x:f>
        <x:v>82.5</x:v>
      </x:c>
      <x:c r="C6" s="4" t="s">
        <x:v>5</x:v>
      </x:c>
      <x:c r="D6" s="4" t="s">
        <x:v>16</x:v>
      </x:c>
    </x:row>
    <x:row r="7" ht="17">
      <x:c r="A7" s="4" t="s">
        <x:v>17</x:v>
      </x:c>
      <x:c r="B7" s="13">
        <x:v>0.1</x:v>
      </x:c>
      <x:c r="C7" s="4" t="s">
        <x:v>18</x:v>
      </x:c>
      <x:c r="D7" s="4" t="s">
        <x:v>19</x:v>
      </x:c>
    </x:row>
    <x:row r="8" ht="17">
      <x:c r="A8" s="4" t="s">
        <x:v>20</x:v>
      </x:c>
      <x:c r="B8" s="13">
        <x:v>0.5</x:v>
      </x:c>
      <x:c r="C8" s="4" t="s">
        <x:v>18</x:v>
      </x:c>
      <x:c r="D8" s="4" t="s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55c046d030e04be8"/>
  </x:tableParts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36" customWidth="1"/>
    <x:col min="2" max="2" width="12" customWidth="1"/>
    <x:col min="3" max="3" width="18" customWidth="1"/>
    <x:col min="4" max="4" width="50" customWidth="1"/>
  </x:cols>
  <x:sheetData>
    <x:row r="1" ht="16.799999237060547" hidden="0" customHeight="1">
      <x:c r="A1" s="17" t="str">
        <x:v>Labour Item</x:v>
      </x:c>
      <x:c r="B1" s="17" t="str">
        <x:v>Hours</x:v>
      </x:c>
      <x:c r="C1" s="17" t="str">
        <x:v>Category</x:v>
      </x:c>
      <x:c r="D1" s="17" t="str">
        <x:v>Notes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Install Zigbee Switch</x:v>
      </x:c>
      <x:c r="B2" s="18" t="n">
        <x:v>0.25</x:v>
      </x:c>
      <x:c r="C2" s="16" t="str">
        <x:v>Installation</x:v>
      </x:c>
      <x:c r="D2" s="16" t="str">
        <x:v>Standard compatible circuit termination</x:v>
      </x:c>
    </x:row>
    <x:row r="3" ht="16.799999237060547" hidden="0" customHeight="1">
      <x:c r="A3" s="16" t="str">
        <x:v>Install Zigbee Dimmer</x:v>
      </x:c>
      <x:c r="B3" s="18" t="n">
        <x:v>0.25</x:v>
      </x:c>
      <x:c r="C3" s="16" t="str">
        <x:v>Installation</x:v>
      </x:c>
      <x:c r="D3" s="16" t="str">
        <x:v>One compatible dimming circuit</x:v>
      </x:c>
    </x:row>
    <x:row r="4" ht="16.799999237060547" hidden="0" customHeight="1">
      <x:c r="A4" s="16" t="str">
        <x:v>Install Multifunction Sensor</x:v>
      </x:c>
      <x:c r="B4" s="18" t="n">
        <x:v>1</x:v>
      </x:c>
      <x:c r="C4" s="16" t="str">
        <x:v>Installation</x:v>
      </x:c>
      <x:c r="D4" s="16" t="str">
        <x:v>Includes standard cabling</x:v>
      </x:c>
    </x:row>
    <x:row r="5" ht="16.799999237060547" hidden="0" customHeight="1">
      <x:c r="A5" s="16" t="str">
        <x:v>Install Occupancy Sensor</x:v>
      </x:c>
      <x:c r="B5" s="18" t="n">
        <x:v>1</x:v>
      </x:c>
      <x:c r="C5" s="16" t="str">
        <x:v>Installation</x:v>
      </x:c>
      <x:c r="D5" s="16" t="str">
        <x:v>Includes standard cabling</x:v>
      </x:c>
    </x:row>
    <x:row r="6" ht="16.799999237060547" hidden="0" customHeight="1">
      <x:c r="A6" s="16" t="str">
        <x:v>Install Outdoor PIR</x:v>
      </x:c>
      <x:c r="B6" s="18" t="n">
        <x:v>0.5</x:v>
      </x:c>
      <x:c r="C6" s="16" t="str">
        <x:v>Installation</x:v>
      </x:c>
      <x:c r="D6" s="16" t="str">
        <x:v>Standard accessible position</x:v>
      </x:c>
    </x:row>
    <x:row r="7" ht="16.799999237060547" hidden="0" customHeight="1">
      <x:c r="A7" s="16" t="str">
        <x:v>Install Curtain Motor</x:v>
      </x:c>
      <x:c r="B7" s="18" t="n">
        <x:v>1</x:v>
      </x:c>
      <x:c r="C7" s="16" t="str">
        <x:v>Installation</x:v>
      </x:c>
      <x:c r="D7" s="16" t="str">
        <x:v>Motor only</x:v>
      </x:c>
    </x:row>
    <x:row r="8" ht="16.799999237060547" hidden="0" customHeight="1">
      <x:c r="A8" s="16" t="str">
        <x:v>Install Curtain Track &lt;=3m</x:v>
      </x:c>
      <x:c r="B8" s="18" t="n">
        <x:v>0.5</x:v>
      </x:c>
      <x:c r="C8" s="16" t="str">
        <x:v>Installation</x:v>
      </x:c>
      <x:c r="D8" s="16" t="str">
        <x:v>Straight track</x:v>
      </x:c>
    </x:row>
    <x:row r="9" ht="16.799999237060547" hidden="0" customHeight="1">
      <x:c r="A9" s="16" t="str">
        <x:v>Install Smart Lock</x:v>
      </x:c>
      <x:c r="B9" s="18" t="n">
        <x:v>0.75</x:v>
      </x:c>
      <x:c r="C9" s="16" t="str">
        <x:v>Installation</x:v>
      </x:c>
      <x:c r="D9" s="16" t="str">
        <x:v>Compatible prepared door</x:v>
      </x:c>
    </x:row>
    <x:row r="10" ht="16.799999237060547" hidden="0" customHeight="1">
      <x:c r="A10" s="16" t="str">
        <x:v>Install Wireless Video Doorbell</x:v>
      </x:c>
      <x:c r="B10" s="18" t="n">
        <x:v>0.33</x:v>
      </x:c>
      <x:c r="C10" s="16" t="str">
        <x:v>Installation</x:v>
      </x:c>
      <x:c r="D10" s="16" t="str">
        <x:v>Battery model</x:v>
      </x:c>
    </x:row>
    <x:row r="11" ht="16.799999237060547" hidden="0" customHeight="1">
      <x:c r="A11" s="16" t="str">
        <x:v>Install Garage Relay</x:v>
      </x:c>
      <x:c r="B11" s="18" t="n">
        <x:v>0.25</x:v>
      </x:c>
      <x:c r="C11" s="16" t="str">
        <x:v>Installation</x:v>
      </x:c>
      <x:c r="D11" s="16" t="str">
        <x:v>Compatible dry-contact garage input</x:v>
      </x:c>
    </x:row>
    <x:row r="12" ht="16.799999237060547" hidden="0" customHeight="1">
      <x:c r="A12" s="16" t="str">
        <x:v>Install RGBW Controller</x:v>
      </x:c>
      <x:c r="B12" s="16" t="n">
        <x:v>0.25</x:v>
      </x:c>
      <x:c r="C12" s="16" t="str">
        <x:v>Installation</x:v>
      </x:c>
      <x:c r="D12" s="16" t="str">
        <x:v>Per lighting zone</x:v>
      </x:c>
    </x:row>
    <x:row r="13" ht="16.799999237060547" hidden="0" customHeight="1">
      <x:c r="A13" s="16" t="str">
        <x:v>Install 24V Power Supply</x:v>
      </x:c>
      <x:c r="B13" s="16" t="n">
        <x:v>0.25</x:v>
      </x:c>
      <x:c r="C13" s="16" t="str">
        <x:v>Installation</x:v>
      </x:c>
      <x:c r="D13" s="16" t="str">
        <x:v>Per power supply</x:v>
      </x:c>
    </x:row>
    <x:row r="14" ht="16.799999237060547" hidden="0" customHeight="1">
      <x:c r="A14" s="16" t="str">
        <x:v>Install Flexible LED Zone</x:v>
      </x:c>
      <x:c r="B14" s="16" t="n">
        <x:v>0.5</x:v>
      </x:c>
      <x:c r="C14" s="16" t="str">
        <x:v>Installation</x:v>
      </x:c>
      <x:c r="D14" s="16" t="str">
        <x:v>Up to 5m on compatible surface</x:v>
      </x:c>
    </x:row>
    <x:row r="15" ht="16.799999237060547" hidden="0" customHeight="1">
      <x:c r="A15" s="16" t="str">
        <x:v>Configure Smart Speaker</x:v>
      </x:c>
      <x:c r="B15" s="16" t="n">
        <x:v>0.08</x:v>
      </x:c>
      <x:c r="C15" s="16" t="str">
        <x:v>Programming</x:v>
      </x:c>
      <x:c r="D15" s="16" t="str">
        <x:v>Account, Wi-Fi and scenes</x:v>
      </x:c>
    </x:row>
    <x:row r="16" ht="16.799999237060547" hidden="0" customHeight="1">
      <x:c r="A16" s="16" t="str">
        <x:v>Configure Smart Display</x:v>
      </x:c>
      <x:c r="B16" s="16" t="n">
        <x:v>0.08</x:v>
      </x:c>
      <x:c r="C16" s="16" t="str">
        <x:v>Programming</x:v>
      </x:c>
      <x:c r="D16" s="16" t="str">
        <x:v>Account, Wi-Fi and basic page</x:v>
      </x:c>
    </x:row>
    <x:row r="17" ht="16.799999237060547" hidden="0" customHeight="1">
      <x:c r="A17" s="16" t="str">
        <x:v>Configure Smart Plug</x:v>
      </x:c>
      <x:c r="B17" s="16" t="n">
        <x:v>0.08</x:v>
      </x:c>
      <x:c r="C17" s="16" t="str">
        <x:v>Programming</x:v>
      </x:c>
      <x:c r="D17" s="16" t="str">
        <x:v>Pair, name and safe-function test</x:v>
      </x:c>
    </x:row>
    <x:row r="18" ht="16.799999237060547" hidden="0" customHeight="1">
      <x:c r="A18" s="16" t="str">
        <x:v>Configure Bedside Remote</x:v>
      </x:c>
      <x:c r="B18" s="16" t="n">
        <x:v>0.1</x:v>
      </x:c>
      <x:c r="C18" s="16" t="str">
        <x:v>Programming</x:v>
      </x:c>
      <x:c r="D18" s="16" t="str">
        <x:v>Four scene buttons</x:v>
      </x:c>
    </x:row>
    <x:row r="19" ht="16.799999237060547" hidden="0" customHeight="1">
      <x:c r="A19" s="16" t="str">
        <x:v>Install Door / Window Contact</x:v>
      </x:c>
      <x:c r="B19" s="16" t="n">
        <x:v>0.0833</x:v>
      </x:c>
      <x:c r="C19" s="16" t="str">
        <x:v>Installation</x:v>
      </x:c>
      <x:c r="D19" s="16" t="str">
        <x:v>Wireless contact</x:v>
      </x:c>
    </x:row>
    <x:row r="20" ht="16.799999237060547" hidden="0" customHeight="1">
      <x:c r="A20" s="16" t="str">
        <x:v>Configure IR Device</x:v>
      </x:c>
      <x:c r="B20" s="16" t="n">
        <x:v>0.25</x:v>
      </x:c>
      <x:c r="C20" s="16" t="str">
        <x:v>Programming</x:v>
      </x:c>
      <x:c r="D20" s="16" t="str">
        <x:v>Learn, scene integration and test</x:v>
      </x:c>
    </x:row>
    <x:row r="21" ht="16.799999237060547" hidden="0" customHeight="1">
      <x:c r="A21" s="16" t="str">
        <x:v>Programming - Collection</x:v>
      </x:c>
      <x:c r="B21" s="16" t="n">
        <x:v>1</x:v>
      </x:c>
      <x:c r="C21" s="16" t="str">
        <x:v>Programming</x:v>
      </x:c>
      <x:c r="D21" s="16" t="str">
        <x:v>Standard collection logic</x:v>
      </x:c>
    </x:row>
    <x:row r="22" ht="16.799999237060547" hidden="0" customHeight="1">
      <x:c r="A22" s="16" t="str">
        <x:v>Programming - Additional Device</x:v>
      </x:c>
      <x:c r="B22" s="16" t="n">
        <x:v>0.1</x:v>
      </x:c>
      <x:c r="C22" s="16" t="str">
        <x:v>Programming</x:v>
      </x:c>
      <x:c r="D22" s="16" t="str">
        <x:v>Add-on device</x:v>
      </x:c>
    </x:row>
    <x:row r="23" ht="16.799999237060547" hidden="0" customHeight="1">
      <x:c r="A23" s="16" t="str">
        <x:v>Testing</x:v>
      </x:c>
      <x:c r="B23" s="16" t="n">
        <x:v>0.5</x:v>
      </x:c>
      <x:c r="C23" s="16" t="str">
        <x:v>Testing</x:v>
      </x:c>
      <x:c r="D23" s="16" t="str">
        <x:v>Standard product test</x:v>
      </x:c>
    </x:row>
    <x:row r="24" ht="16.799999237060547" hidden="0" customHeight="1">
      <x:c r="A24" s="16" t="str">
        <x:v>Testing - Additional Device</x:v>
      </x:c>
      <x:c r="B24" s="16" t="n">
        <x:v>0.1</x:v>
      </x:c>
      <x:c r="C24" s="16" t="str">
        <x:v>Testing</x:v>
      </x:c>
      <x:c r="D24" s="16" t="str">
        <x:v>Add-on test</x:v>
      </x:c>
    </x:row>
    <x:row r="25" ht="16.799999237060547" hidden="0" customHeight="1">
      <x:c r="A25" s="16" t="str">
        <x:v>Customer Training</x:v>
      </x:c>
      <x:c r="B25" s="16" t="n">
        <x:v>0.5</x:v>
      </x:c>
      <x:c r="C25" s="16" t="str">
        <x:v>Training</x:v>
      </x:c>
      <x:c r="D25" s="16" t="str">
        <x:v>Standard handover</x:v>
      </x:c>
    </x:row>
    <x:row r="26" ht="16.799999237060547" hidden="0" customHeight="1">
      <x:c r="A26" s="16" t="str">
        <x:v>Foundation Infrastructure Installation</x:v>
      </x:c>
      <x:c r="B26" s="16" t="n">
        <x:v>6</x:v>
      </x:c>
      <x:c r="C26" s="16" t="str">
        <x:v>Installation</x:v>
      </x:c>
      <x:c r="D26" s="16" t="str">
        <x:v>Cabinet, network, screen, BUS and commissioning</x:v>
      </x:c>
    </x:row>
    <x:row r="27" ht="16.799999237060547" hidden="0" customHeight="1">
      <x:c r="A27" s="16" t="str">
        <x:v>Foundation Programming</x:v>
      </x:c>
      <x:c r="B27" s="16" t="n">
        <x:v>3</x:v>
      </x:c>
      <x:c r="C27" s="16" t="str">
        <x:v>Programming</x:v>
      </x:c>
      <x:c r="D27" s="16" t="str">
        <x:v>Gateway, app, screen and base system</x:v>
      </x:c>
    </x:row>
    <x:row r="28" ht="16.799999237060547" hidden="0" customHeight="1">
      <x:c r="A28" s="16" t="str">
        <x:v>Install Climate Controllers</x:v>
      </x:c>
      <x:c r="B28" s="16" t="n">
        <x:v>4</x:v>
      </x:c>
      <x:c r="C28" s="16" t="str">
        <x:v>Installation</x:v>
      </x:c>
      <x:c r="D28" s="16" t="str">
        <x:v>One compatible HVAC and up to six existing zones</x:v>
      </x:c>
    </x:row>
    <x:row r="29" ht="16.799999237060547" hidden="0" customHeight="1">
      <x:c r="A29" s="16" t="str">
        <x:v>Program and Commission Climate</x:v>
      </x:c>
      <x:c r="B29" s="16" t="n">
        <x:v>4</x:v>
      </x:c>
      <x:c r="C29" s="16" t="str">
        <x:v>Programming</x:v>
      </x:c>
      <x:c r="D29" s="16" t="str">
        <x:v>Comfort logic, zones and Collection sensor mapping</x:v>
      </x:c>
    </x:row>
    <x:row r="30" ht="16.799999237060547" hidden="0" customHeight="1">
      <x:c r="A30" s="16" t="str">
        <x:v>Install Healthy Air Zone</x:v>
      </x:c>
      <x:c r="B30" s="16" t="n">
        <x:v>10</x:v>
      </x:c>
      <x:c r="C30" s="16" t="str">
        <x:v>Installation</x:v>
      </x:c>
      <x:c r="D30" s="16" t="str">
        <x:v>Two fans, ducts, four grilles, sensor and controls; standard access</x:v>
      </x:c>
    </x:row>
    <x:row r="31" ht="16.799999237060547" hidden="0" customHeight="1">
      <x:c r="A31" s="16" t="str">
        <x:v>Program and Commission Healthy Air</x:v>
      </x:c>
      <x:c r="B31" s="16" t="n">
        <x:v>2</x:v>
      </x:c>
      <x:c r="C31" s="16" t="str">
        <x:v>Programming</x:v>
      </x:c>
      <x:c r="D31" s="16" t="str">
        <x:v>Balanced, extract priority and natural cooling</x:v>
      </x:c>
    </x:row>
    <x:row r="32" ht="16.799999237060547" hidden="0" customHeight="1">
      <x:c r="A32" s="16" t="str">
        <x:v>Install Garden Control Infrastructure</x:v>
      </x:c>
      <x:c r="B32" s="16" t="n">
        <x:v>6</x:v>
      </x:c>
      <x:c r="C32" s="16" t="str">
        <x:v>Installation</x:v>
      </x:c>
      <x:c r="D32" s="16" t="str">
        <x:v>Two relay boxes, BUS and low-voltage supply; no trenching</x:v>
      </x:c>
    </x:row>
    <x:row r="33" ht="16.799999237060547" hidden="0" customHeight="1">
      <x:c r="A33" s="16" t="str">
        <x:v>Program Garden Care</x:v>
      </x:c>
      <x:c r="B33" s="16" t="n">
        <x:v>2</x:v>
      </x:c>
      <x:c r="C33" s="16" t="str">
        <x:v>Programming</x:v>
      </x:c>
      <x:c r="D33" s="16" t="str">
        <x:v>Four standard zones, weather and vacation logic</x:v>
      </x:c>
    </x:row>
    <x:row r="34" ht="16.799999237060547" hidden="0" customHeight="1">
      <x:c r="A34" s="16" t="str">
        <x:v>Install CCTV Camera and Cable</x:v>
      </x:c>
      <x:c r="B34" s="16" t="n">
        <x:v>1.5</x:v>
      </x:c>
      <x:c r="C34" s="16" t="str">
        <x:v>Installation</x:v>
      </x:c>
      <x:c r="D34" s="16" t="str">
        <x:v>Per standard camera position</x:v>
      </x:c>
    </x:row>
    <x:row r="35" ht="16.799999237060547" hidden="0" customHeight="1">
      <x:c r="A35" s="16" t="str">
        <x:v>Configure CCTV NVR</x:v>
      </x:c>
      <x:c r="B35" s="16" t="n">
        <x:v>2</x:v>
      </x:c>
      <x:c r="C35" s="16" t="str">
        <x:v>Programming</x:v>
      </x:c>
      <x:c r="D35" s="16" t="str">
        <x:v>Recording, events, app and storage</x:v>
      </x:c>
    </x:row>
    <x:row r="36" ht="16.799999237060547" hidden="0" customHeight="1">
      <x:c r="A36" s="16" t="str">
        <x:v>Install Protection Input Interface</x:v>
      </x:c>
      <x:c r="B36" s="16" t="n">
        <x:v>1</x:v>
      </x:c>
      <x:c r="C36" s="16" t="str">
        <x:v>Installation</x:v>
      </x:c>
      <x:c r="D36" s="16" t="str">
        <x:v>NVR alarm output to TIS-4DL-IN</x:v>
      </x:c>
    </x:row>
    <x:row r="37" ht="16.799999237060547" hidden="0" customHeight="1">
      <x:c r="A37" s="16" t="str">
        <x:v>Configure Protection Bonus</x:v>
      </x:c>
      <x:c r="B37" s="16" t="n">
        <x:v>1</x:v>
      </x:c>
      <x:c r="C37" s="16" t="str">
        <x:v>Programming</x:v>
      </x:c>
      <x:c r="D37" s="16" t="str">
        <x:v>Only when Entry + Away + CCTV are present</x:v>
      </x:c>
    </x:row>
  </x:sheetData>
  <x:pageMargins left="0.7" right="0.7" top="0.75" bottom="0.75" header="0.3" footer="0.3"/>
  <x:tableParts count="1">
    <x:tablePart xmlns:r="http://schemas.openxmlformats.org/officeDocument/2006/relationships" r:id="R22f7504ce1404314"/>
  </x:tableParts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4" customWidth="1"/>
    <x:col min="2" max="2" width="28" customWidth="1"/>
    <x:col min="3" max="3" width="34" customWidth="1"/>
    <x:col min="4" max="5" width="18" customWidth="1"/>
    <x:col min="6" max="6" width="14" customWidth="1"/>
    <x:col min="7" max="7" width="46" customWidth="1"/>
  </x:cols>
  <x:sheetData>
    <x:row r="1" ht="16.799999237060547" hidden="0" customHeight="1">
      <x:c r="A1" s="17" t="str">
        <x:v>SKU</x:v>
      </x:c>
      <x:c r="B1" s="17" t="str">
        <x:v>Product</x:v>
      </x:c>
      <x:c r="C1" s="17" t="str">
        <x:v>Capability Category</x:v>
      </x:c>
      <x:c r="D1" s="17" t="str">
        <x:v>Unit Cost ex GST</x:v>
      </x:c>
      <x:c r="E1" s="17" t="str">
        <x:v>Supplier</x:v>
      </x:c>
      <x:c r="F1" s="17" t="str">
        <x:v>Status</x:v>
      </x:c>
      <x:c r="G1" s="17" t="str">
        <x:v>Notes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SW-001</x:v>
      </x:c>
      <x:c r="B2" s="16" t="str">
        <x:v>TIS Zigbee 6-Circuit Light Switch</x:v>
      </x:c>
      <x:c r="C2" s="16" t="str">
        <x:v>Lighting On/Off</x:v>
      </x:c>
      <x:c r="D2" s="20" t="n">
        <x:v>70</x:v>
      </x:c>
      <x:c r="E2" s="16" t="str">
        <x:v>TIS</x:v>
      </x:c>
      <x:c r="F2" s="16" t="str">
        <x:v>Active</x:v>
      </x:c>
      <x:c r="G2" s="16" t="str">
        <x:v>Maximum six compatible on/off circuits</x:v>
      </x:c>
    </x:row>
    <x:row r="3" ht="16.799999237060547" hidden="0" customHeight="1">
      <x:c r="A3" s="16" t="str">
        <x:v>DM-001</x:v>
      </x:c>
      <x:c r="B3" s="16" t="str">
        <x:v>TIS Zigbee Dimmer</x:v>
      </x:c>
      <x:c r="C3" s="16" t="str">
        <x:v>Lighting Dimming</x:v>
      </x:c>
      <x:c r="D3" s="20" t="n">
        <x:v>58</x:v>
      </x:c>
      <x:c r="E3" s="16" t="str">
        <x:v>TIS</x:v>
      </x:c>
      <x:c r="F3" s="16" t="str">
        <x:v>Active</x:v>
      </x:c>
      <x:c r="G3" s="16" t="str">
        <x:v>One compatible dimmable circuit</x:v>
      </x:c>
    </x:row>
    <x:row r="4" ht="16.799999237060547" hidden="0" customHeight="1">
      <x:c r="A4" s="16" t="str">
        <x:v>SN-001</x:v>
      </x:c>
      <x:c r="B4" s="16" t="str">
        <x:v>TIS 10 Function Sensor</x:v>
      </x:c>
      <x:c r="C4" s="16" t="str">
        <x:v>Presence / IR / Temperature / Lux</x:v>
      </x:c>
      <x:c r="D4" s="20" t="n">
        <x:v>165</x:v>
      </x:c>
      <x:c r="E4" s="16" t="str">
        <x:v>TIS</x:v>
      </x:c>
      <x:c r="F4" s="16" t="str">
        <x:v>Active</x:v>
      </x:c>
      <x:c r="G4" s="16" t="str">
        <x:v>Multifunction sensor for Living and Bedroom</x:v>
      </x:c>
    </x:row>
    <x:row r="5" ht="16.799999237060547" hidden="0" customHeight="1">
      <x:c r="A5" s="16" t="str">
        <x:v>CM-001</x:v>
      </x:c>
      <x:c r="B5" s="16" t="str">
        <x:v>Curtain Motor</x:v>
      </x:c>
      <x:c r="C5" s="16" t="str">
        <x:v>Curtain Automation</x:v>
      </x:c>
      <x:c r="D5" s="20" t="n">
        <x:v>150</x:v>
      </x:c>
      <x:c r="E5" s="16" t="str">
        <x:v>TIS / compatible</x:v>
      </x:c>
      <x:c r="F5" s="16" t="str">
        <x:v>Active</x:v>
      </x:c>
      <x:c r="G5" s="16" t="str">
        <x:v>Fabric and sheer excluded</x:v>
      </x:c>
    </x:row>
    <x:row r="6" ht="16.799999237060547" hidden="0" customHeight="1">
      <x:c r="A6" s="16" t="str">
        <x:v>CT-001</x:v>
      </x:c>
      <x:c r="B6" s="16" t="str">
        <x:v>Straight Curtain Track &lt;=3m</x:v>
      </x:c>
      <x:c r="C6" s="16" t="str">
        <x:v>Curtain Track</x:v>
      </x:c>
      <x:c r="D6" s="20" t="n">
        <x:v>150</x:v>
      </x:c>
      <x:c r="E6" s="16" t="str">
        <x:v>Local supplier</x:v>
      </x:c>
      <x:c r="F6" s="16" t="str">
        <x:v>Estimate</x:v>
      </x:c>
      <x:c r="G6" s="16" t="str">
        <x:v>Over 3m or custom shape quoted</x:v>
      </x:c>
    </x:row>
    <x:row r="7" ht="16.799999237060547" hidden="0" customHeight="1">
      <x:c r="A7" s="16" t="str">
        <x:v>SP-001</x:v>
      </x:c>
      <x:c r="B7" s="16" t="str">
        <x:v>Smart Speaker</x:v>
      </x:c>
      <x:c r="C7" s="16" t="str">
        <x:v>Voice Interface</x:v>
      </x:c>
      <x:c r="D7" s="20" t="n">
        <x:v>199</x:v>
      </x:c>
      <x:c r="E7" s="16" t="str">
        <x:v>Google / equivalent</x:v>
      </x:c>
      <x:c r="F7" s="16" t="str">
        <x:v>Active</x:v>
      </x:c>
      <x:c r="G7" s="16" t="str">
        <x:v>Customer-facing name must not say AI</x:v>
      </x:c>
    </x:row>
    <x:row r="8" ht="16.799999237060547" hidden="0" customHeight="1">
      <x:c r="A8" s="16" t="str">
        <x:v>LK-001</x:v>
      </x:c>
      <x:c r="B8" s="16" t="str">
        <x:v>Smart Lock</x:v>
      </x:c>
      <x:c r="C8" s="16" t="str">
        <x:v>Access</x:v>
      </x:c>
      <x:c r="D8" s="20" t="n">
        <x:v>240</x:v>
      </x:c>
      <x:c r="E8" s="16" t="str">
        <x:v>Compatible supplier</x:v>
      </x:c>
      <x:c r="F8" s="16" t="str">
        <x:v>Active</x:v>
      </x:c>
      <x:c r="G8" s="16" t="str">
        <x:v>Fingerprint / PIN / app; no proximity auto-unlock</x:v>
      </x:c>
    </x:row>
    <x:row r="9" ht="16.799999237060547" hidden="0" customHeight="1">
      <x:c r="A9" s="16" t="str">
        <x:v>DB-001</x:v>
      </x:c>
      <x:c r="B9" s="16" t="str">
        <x:v>Wireless Video Doorbell</x:v>
      </x:c>
      <x:c r="C9" s="16" t="str">
        <x:v>Door Communication</x:v>
      </x:c>
      <x:c r="D9" s="20" t="n">
        <x:v>69</x:v>
      </x:c>
      <x:c r="E9" s="16" t="str">
        <x:v>Ring / equivalent</x:v>
      </x:c>
      <x:c r="F9" s="16" t="str">
        <x:v>Active</x:v>
      </x:c>
      <x:c r="G9" s="16" t="str">
        <x:v>Battery model; subscription excluded</x:v>
      </x:c>
    </x:row>
    <x:row r="10" ht="16.799999237060547" hidden="0" customHeight="1">
      <x:c r="A10" s="16" t="str">
        <x:v>PIR-001</x:v>
      </x:c>
      <x:c r="B10" s="16" t="str">
        <x:v>TIS BUS PIR Sensor</x:v>
      </x:c>
      <x:c r="C10" s="16" t="str">
        <x:v>Outdoor Motion</x:v>
      </x:c>
      <x:c r="D10" s="20" t="n">
        <x:v>107</x:v>
      </x:c>
      <x:c r="E10" s="16" t="str">
        <x:v>TIS</x:v>
      </x:c>
      <x:c r="F10" s="16" t="str">
        <x:v>Active</x:v>
      </x:c>
      <x:c r="G10" s="16" t="str">
        <x:v>Outdoor Welcome trigger</x:v>
      </x:c>
    </x:row>
    <x:row r="11" ht="16.799999237060547" hidden="0" customHeight="1">
      <x:c r="A11" s="16" t="str">
        <x:v>OCC-001</x:v>
      </x:c>
      <x:c r="B11" s="16" t="str">
        <x:v>Occupancy Sensor</x:v>
      </x:c>
      <x:c r="C11" s="16" t="str">
        <x:v>Presence / Temperature / Lux</x:v>
      </x:c>
      <x:c r="D11" s="20" t="n">
        <x:v>130</x:v>
      </x:c>
      <x:c r="E11" s="16" t="str">
        <x:v>Compatible supplier</x:v>
      </x:c>
      <x:c r="F11" s="16" t="str">
        <x:v>Active</x:v>
      </x:c>
      <x:c r="G11" s="16" t="str">
        <x:v>No IR control</x:v>
      </x:c>
    </x:row>
    <x:row r="12" ht="16.799999237060547" hidden="0" customHeight="1">
      <x:c r="A12" s="16" t="str">
        <x:v>HUB-001</x:v>
      </x:c>
      <x:c r="B12" s="16" t="str">
        <x:v>Smart Display</x:v>
      </x:c>
      <x:c r="C12" s="16" t="str">
        <x:v>Voice / Display Interface</x:v>
      </x:c>
      <x:c r="D12" s="20" t="n">
        <x:v>149</x:v>
      </x:c>
      <x:c r="E12" s="16" t="str">
        <x:v>Google / equivalent</x:v>
      </x:c>
      <x:c r="F12" s="16" t="str">
        <x:v>Active</x:v>
      </x:c>
      <x:c r="G12" s="16" t="str">
        <x:v>Customer-facing name must not say AI</x:v>
      </x:c>
    </x:row>
    <x:row r="13" ht="16.799999237060547" hidden="0" customHeight="1">
      <x:c r="A13" s="16" t="str">
        <x:v>PLG-001</x:v>
      </x:c>
      <x:c r="B13" s="16" t="str">
        <x:v>Zigbee Smart Plug</x:v>
      </x:c>
      <x:c r="C13" s="16" t="str">
        <x:v>Compatible Appliance Outlet</x:v>
      </x:c>
      <x:c r="D13" s="20" t="n">
        <x:v>26</x:v>
      </x:c>
      <x:c r="E13" s="16" t="str">
        <x:v>Compatible supplier</x:v>
      </x:c>
      <x:c r="F13" s="16" t="str">
        <x:v>Active</x:v>
      </x:c>
      <x:c r="G13" s="16" t="str">
        <x:v>No guarantee appliance resumes after power restoration</x:v>
      </x:c>
    </x:row>
    <x:row r="14" ht="16.799999237060547" hidden="0" customHeight="1">
      <x:c r="A14" s="16" t="str">
        <x:v>GAR-REL</x:v>
      </x:c>
      <x:c r="B14" s="16" t="str">
        <x:v>TIS Zigbee Dry Contact Relay</x:v>
      </x:c>
      <x:c r="C14" s="16" t="str">
        <x:v>Garage Door Manual Control</x:v>
      </x:c>
      <x:c r="D14" s="20" t="n">
        <x:v>46</x:v>
      </x:c>
      <x:c r="E14" s="16" t="str">
        <x:v>TIS</x:v>
      </x:c>
      <x:c r="F14" s="16" t="str">
        <x:v>Active</x:v>
      </x:c>
      <x:c r="G14" s="16" t="str">
        <x:v>Manual app/screen action only</x:v>
      </x:c>
    </x:row>
    <x:row r="15" ht="16.799999237060547" hidden="0" customHeight="1">
      <x:c r="A15" s="16" t="str">
        <x:v>485-MODULE</x:v>
      </x:c>
      <x:c r="B15" s="16" t="str">
        <x:v>IP COM RS232/RS485 Module</x:v>
      </x:c>
      <x:c r="C15" s="16" t="str">
        <x:v>Foundation / BUS Interface</x:v>
      </x:c>
      <x:c r="D15" s="20" t="n">
        <x:v>300</x:v>
      </x:c>
      <x:c r="E15" s="16" t="str">
        <x:v>TIS</x:v>
      </x:c>
      <x:c r="F15" s="16" t="str">
        <x:v>Active</x:v>
      </x:c>
      <x:c r="G15" s="16" t="str">
        <x:v>Approximate current cost</x:v>
      </x:c>
    </x:row>
    <x:row r="16" ht="16.799999237060547" hidden="0" customHeight="1">
      <x:c r="A16" s="16" t="str">
        <x:v>POE-SWITCH</x:v>
      </x:c>
      <x:c r="B16" s="16" t="str">
        <x:v>16 Port PoE Switch</x:v>
      </x:c>
      <x:c r="C16" s="16" t="str">
        <x:v>Foundation / Network</x:v>
      </x:c>
      <x:c r="D16" s="20" t="n">
        <x:v>158</x:v>
      </x:c>
      <x:c r="E16" s="16" t="str">
        <x:v>Compatible supplier</x:v>
      </x:c>
      <x:c r="F16" s="16" t="str">
        <x:v>Active</x:v>
      </x:c>
      <x:c r="G16" s="16" t="str">
        <x:v>Foundation hardware</x:v>
      </x:c>
    </x:row>
    <x:row r="17" ht="16.799999237060547" hidden="0" customHeight="1">
      <x:c r="A17" s="16" t="str">
        <x:v>ZB-GATEWAY</x:v>
      </x:c>
      <x:c r="B17" s="16" t="str">
        <x:v>Zigbee Gateway</x:v>
      </x:c>
      <x:c r="C17" s="16" t="str">
        <x:v>Foundation / Zigbee</x:v>
      </x:c>
      <x:c r="D17" s="20" t="n">
        <x:v>297</x:v>
      </x:c>
      <x:c r="E17" s="16" t="str">
        <x:v>TIS / compatible</x:v>
      </x:c>
      <x:c r="F17" s="16" t="str">
        <x:v>Active</x:v>
      </x:c>
      <x:c r="G17" s="16" t="str">
        <x:v>Foundation hardware</x:v>
      </x:c>
    </x:row>
    <x:row r="18" ht="16.799999237060547" hidden="0" customHeight="1">
      <x:c r="A18" s="16" t="str">
        <x:v>CAT6-CABLE</x:v>
      </x:c>
      <x:c r="B18" s="16" t="str">
        <x:v>Cat 6 Cable Allowance</x:v>
      </x:c>
      <x:c r="C18" s="16" t="str">
        <x:v>Foundation / Cabling</x:v>
      </x:c>
      <x:c r="D18" s="20" t="n">
        <x:v>170</x:v>
      </x:c>
      <x:c r="E18" s="16" t="str">
        <x:v>Local supplier</x:v>
      </x:c>
      <x:c r="F18" s="16" t="str">
        <x:v>Active</x:v>
      </x:c>
      <x:c r="G18" s="16" t="str">
        <x:v>Foundation allowance</x:v>
      </x:c>
    </x:row>
    <x:row r="19" ht="16.799999237060547" hidden="0" customHeight="1">
      <x:c r="A19" s="16" t="str">
        <x:v>SCREEN-10</x:v>
      </x:c>
      <x:c r="B19" s="16" t="str">
        <x:v>10-inch Control Screen</x:v>
      </x:c>
      <x:c r="C19" s="16" t="str">
        <x:v>Foundation / User Interface</x:v>
      </x:c>
      <x:c r="D19" s="20" t="n">
        <x:v>790</x:v>
      </x:c>
      <x:c r="E19" s="16" t="str">
        <x:v>TIS</x:v>
      </x:c>
      <x:c r="F19" s="16" t="str">
        <x:v>Active</x:v>
      </x:c>
      <x:c r="G19" s="16" t="str">
        <x:v>Standard Foundation screen</x:v>
      </x:c>
    </x:row>
    <x:row r="20" ht="16.799999237060547" hidden="0" customHeight="1">
      <x:c r="A20" s="16" t="str">
        <x:v>SCREEN-13</x:v>
      </x:c>
      <x:c r="B20" s="16" t="str">
        <x:v>13-inch Control Screen</x:v>
      </x:c>
      <x:c r="C20" s="16" t="str">
        <x:v>Foundation / User Interface</x:v>
      </x:c>
      <x:c r="D20" s="20" t="n">
        <x:v>1250</x:v>
      </x:c>
      <x:c r="E20" s="16" t="str">
        <x:v>TIS</x:v>
      </x:c>
      <x:c r="F20" s="16" t="str">
        <x:v>Active</x:v>
      </x:c>
      <x:c r="G20" s="16" t="str">
        <x:v>Replacement upgrade or additional screen</x:v>
      </x:c>
    </x:row>
    <x:row r="21" ht="16.799999237060547" hidden="0" customHeight="1">
      <x:c r="A21" s="16" t="str">
        <x:v>FOUND-INFRA</x:v>
      </x:c>
      <x:c r="B21" s="16" t="str">
        <x:v>Mini Cabinet, Power and Accessories</x:v>
      </x:c>
      <x:c r="C21" s="16" t="str">
        <x:v>Foundation / Infrastructure</x:v>
      </x:c>
      <x:c r="D21" s="20" t="n">
        <x:v>300</x:v>
      </x:c>
      <x:c r="E21" s="16" t="str">
        <x:v>Mixed</x:v>
      </x:c>
      <x:c r="F21" s="16" t="str">
        <x:v>Estimate</x:v>
      </x:c>
      <x:c r="G21" s="16" t="str">
        <x:v>DIN rail, power, patch leads and accessories</x:v>
      </x:c>
    </x:row>
    <x:row r="22" ht="26.399999618530273" hidden="0" customHeight="1">
      <x:c r="A22" s="16" t="str">
        <x:v>MAG-001</x:v>
      </x:c>
      <x:c r="B22" s="16" t="str">
        <x:v>Wireless Zigbee Door / Window Contact</x:v>
      </x:c>
      <x:c r="C22" s="16" t="str">
        <x:v>Home Status Monitoring</x:v>
      </x:c>
      <x:c r="D22" s="20" t="n">
        <x:v>44</x:v>
      </x:c>
      <x:c r="E22" s="16" t="str">
        <x:v>Compatible supplier</x:v>
      </x:c>
      <x:c r="F22" s="16" t="str">
        <x:v>Active</x:v>
      </x:c>
      <x:c r="G22" s="16" t="str">
        <x:v>Away standard contact</x:v>
      </x:c>
    </x:row>
    <x:row r="23" ht="16.799999237060547" hidden="0" customHeight="1">
      <x:c r="A23" s="16" t="str">
        <x:v>RGB-CTRL</x:v>
      </x:c>
      <x:c r="B23" s="16" t="str">
        <x:v>TIS-BEE-RGBW-FL Controller</x:v>
      </x:c>
      <x:c r="C23" s="16" t="str">
        <x:v>24V PWM Lighting Control</x:v>
      </x:c>
      <x:c r="D23" s="20" t="n">
        <x:v>100</x:v>
      </x:c>
      <x:c r="E23" s="16" t="str">
        <x:v>TIS</x:v>
      </x:c>
      <x:c r="F23" s="16" t="str">
        <x:v>Active</x:v>
      </x:c>
      <x:c r="G23" s="16" t="str">
        <x:v>Used for RGBW and warm-white dimming</x:v>
      </x:c>
    </x:row>
    <x:row r="24" ht="16.799999237060547" hidden="0" customHeight="1">
      <x:c r="A24" s="16" t="str">
        <x:v>PSU-24-76</x:v>
      </x:c>
      <x:c r="B24" s="16" t="str">
        <x:v>24V 76.8W DIN Power Supply</x:v>
      </x:c>
      <x:c r="C24" s="16" t="str">
        <x:v>LED Power</x:v>
      </x:c>
      <x:c r="D24" s="20" t="n">
        <x:v>40.16</x:v>
      </x:c>
      <x:c r="E24" s="16" t="str">
        <x:v>VPS1-0752403</x:v>
      </x:c>
      <x:c r="F24" s="16" t="str">
        <x:v>Active</x:v>
      </x:c>
      <x:c r="G24" s="16" t="str">
        <x:v>One per maximum 5m 12W/m colour zone or 3m warm zone</x:v>
      </x:c>
    </x:row>
    <x:row r="25" ht="26.399999618530273" hidden="0" customHeight="1">
      <x:c r="A25" s="16" t="str">
        <x:v>WW-STRIP-3</x:v>
      </x:c>
      <x:c r="B25" s="16" t="str">
        <x:v>10x10mm Warm White Silicone Strip 3m</x:v>
      </x:c>
      <x:c r="C25" s="16" t="str">
        <x:v>Warm Ambient Lighting</x:v>
      </x:c>
      <x:c r="D25" s="20" t="n">
        <x:v>6</x:v>
      </x:c>
      <x:c r="E25" s="16" t="str">
        <x:v>China supply</x:v>
      </x:c>
      <x:c r="F25" s="16" t="str">
        <x:v>Estimate</x:v>
      </x:c>
      <x:c r="G25" s="16" t="str">
        <x:v>$2/m; 12W/m</x:v>
      </x:c>
    </x:row>
    <x:row r="26" ht="16.799999237060547" hidden="0" customHeight="1">
      <x:c r="A26" s="16" t="str">
        <x:v>RGB-STRIP-5</x:v>
      </x:c>
      <x:c r="B26" s="16" t="str">
        <x:v>10x10mm RGBW Silicone Strip 5m</x:v>
      </x:c>
      <x:c r="C26" s="16" t="str">
        <x:v>Colour Ambient Lighting</x:v>
      </x:c>
      <x:c r="D26" s="20" t="n">
        <x:v>15</x:v>
      </x:c>
      <x:c r="E26" s="16" t="str">
        <x:v>China supply</x:v>
      </x:c>
      <x:c r="F26" s="16" t="str">
        <x:v>Estimate</x:v>
      </x:c>
      <x:c r="G26" s="16" t="str">
        <x:v>$3/m; 12W/m</x:v>
      </x:c>
    </x:row>
    <x:row r="27" ht="16.799999237060547" hidden="0" customHeight="1">
      <x:c r="A27" s="16" t="str">
        <x:v>COLOR-BULB</x:v>
      </x:c>
      <x:c r="B27" s="16" t="str">
        <x:v>Smart Colour Bulb</x:v>
      </x:c>
      <x:c r="C27" s="16" t="str">
        <x:v>Colour Lighting</x:v>
      </x:c>
      <x:c r="D27" s="20" t="n">
        <x:v>30</x:v>
      </x:c>
      <x:c r="E27" s="16" t="str">
        <x:v>Compatible supplier</x:v>
      </x:c>
      <x:c r="F27" s="16" t="str">
        <x:v>Active</x:v>
      </x:c>
      <x:c r="G27" s="16" t="str">
        <x:v>Mood Lighting</x:v>
      </x:c>
    </x:row>
    <x:row r="28" ht="26.399999618530273" hidden="0" customHeight="1">
      <x:c r="A28" s="16" t="str">
        <x:v>BED-REMOTE</x:v>
      </x:c>
      <x:c r="B28" s="16" t="str">
        <x:v>TIS Four-Button Zigbee Scene Remote</x:v>
      </x:c>
      <x:c r="C28" s="16" t="str">
        <x:v>Bedside Scene Control</x:v>
      </x:c>
      <x:c r="D28" s="20" t="n">
        <x:v>50</x:v>
      </x:c>
      <x:c r="E28" s="16" t="str">
        <x:v>TIS</x:v>
      </x:c>
      <x:c r="F28" s="16" t="str">
        <x:v>Active</x:v>
      </x:c>
      <x:c r="G28" s="16" t="str">
        <x:v>Two included in Bedroom</x:v>
      </x:c>
    </x:row>
    <x:row r="29" ht="26.399999618530273" hidden="0" customHeight="1">
      <x:c r="A29" s="16" t="str">
        <x:v>AC-CTRL</x:v>
      </x:c>
      <x:c r="B29" s="16" t="str">
        <x:v>TIS-GTY-1AC Air Conditioning Controller</x:v>
      </x:c>
      <x:c r="C29" s="16" t="str">
        <x:v>Ducted HVAC Control</x:v>
      </x:c>
      <x:c r="D29" s="20" t="n">
        <x:v>260</x:v>
      </x:c>
      <x:c r="E29" s="16" t="str">
        <x:v>TIS</x:v>
      </x:c>
      <x:c r="F29" s="16" t="str">
        <x:v>Active</x:v>
      </x:c>
      <x:c r="G29" s="16" t="str">
        <x:v>Climate</x:v>
      </x:c>
    </x:row>
    <x:row r="30" ht="16.799999237060547" hidden="0" customHeight="1">
      <x:c r="A30" s="16" t="str">
        <x:v>ZONE-CTRL</x:v>
      </x:c>
      <x:c r="B30" s="16" t="str">
        <x:v>TIS Zone Controller</x:v>
      </x:c>
      <x:c r="C30" s="16" t="str">
        <x:v>HVAC Zone Control</x:v>
      </x:c>
      <x:c r="D30" s="20" t="n">
        <x:v>300</x:v>
      </x:c>
      <x:c r="E30" s="16" t="str">
        <x:v>TIS</x:v>
      </x:c>
      <x:c r="F30" s="16" t="str">
        <x:v>Active</x:v>
      </x:c>
      <x:c r="G30" s="16" t="str">
        <x:v>Up to six standard existing zones</x:v>
      </x:c>
    </x:row>
    <x:row r="31" ht="26.399999618530273" hidden="0" customHeight="1">
      <x:c r="A31" s="16" t="str">
        <x:v>CLIMATE-ACC</x:v>
      </x:c>
      <x:c r="B31" s="16" t="str">
        <x:v>Climate Interface Accessories Allowance</x:v>
      </x:c>
      <x:c r="C31" s="16" t="str">
        <x:v>HVAC Accessories</x:v>
      </x:c>
      <x:c r="D31" s="20" t="n">
        <x:v>140</x:v>
      </x:c>
      <x:c r="E31" s="16" t="str">
        <x:v>Mixed</x:v>
      </x:c>
      <x:c r="F31" s="16" t="str">
        <x:v>Estimate</x:v>
      </x:c>
      <x:c r="G31" s="16" t="str">
        <x:v>Power, terminals, wiring and risk allowance</x:v>
      </x:c>
    </x:row>
    <x:row r="32" ht="16.799999237060547" hidden="0" customHeight="1">
      <x:c r="A32" s="16" t="str">
        <x:v>HEALTH-SENSOR</x:v>
      </x:c>
      <x:c r="B32" s="16" t="str">
        <x:v>TIS Health Sensor</x:v>
      </x:c>
      <x:c r="C32" s="16" t="str">
        <x:v>CO / eCO2 / TVOC / Temp / Humidity</x:v>
      </x:c>
      <x:c r="D32" s="20" t="n">
        <x:v>319</x:v>
      </x:c>
      <x:c r="E32" s="16" t="str">
        <x:v>TIS</x:v>
      </x:c>
      <x:c r="F32" s="16" t="str">
        <x:v>Active</x:v>
      </x:c>
      <x:c r="G32" s="16" t="str">
        <x:v>Not a certified statutory CO alarm; no PM2.5</x:v>
      </x:c>
    </x:row>
    <x:row r="33" ht="16.799999237060547" hidden="0" customHeight="1">
      <x:c r="A33" s="16" t="str">
        <x:v>FAN-100</x:v>
      </x:c>
      <x:c r="B33" s="16" t="str">
        <x:v>100mm Mixflow Fan</x:v>
      </x:c>
      <x:c r="C33" s="16" t="str">
        <x:v>Healthy Air Fan</x:v>
      </x:c>
      <x:c r="D33" s="20" t="n">
        <x:v>125</x:v>
      </x:c>
      <x:c r="E33" s="16" t="str">
        <x:v>Ventair</x:v>
      </x:c>
      <x:c r="F33" s="16" t="str">
        <x:v>Active</x:v>
      </x:c>
      <x:c r="G33" s="16" t="str">
        <x:v>Bedroom/Bathroom fixed low speed</x:v>
      </x:c>
    </x:row>
    <x:row r="34" ht="16.799999237060547" hidden="0" customHeight="1">
      <x:c r="A34" s="16" t="str">
        <x:v>FAN-150</x:v>
      </x:c>
      <x:c r="B34" s="16" t="str">
        <x:v>150mm Mixflow Fan</x:v>
      </x:c>
      <x:c r="C34" s="16" t="str">
        <x:v>Healthy Air Fan</x:v>
      </x:c>
      <x:c r="D34" s="20" t="n">
        <x:v>197</x:v>
      </x:c>
      <x:c r="E34" s="16" t="str">
        <x:v>Ventair</x:v>
      </x:c>
      <x:c r="F34" s="16" t="str">
        <x:v>Active</x:v>
      </x:c>
      <x:c r="G34" s="16" t="str">
        <x:v>Living fixed low; Kitchen fixed high</x:v>
      </x:c>
    </x:row>
    <x:row r="35" ht="16.799999237060547" hidden="0" customHeight="1">
      <x:c r="A35" s="16" t="str">
        <x:v>DUCT-6M</x:v>
      </x:c>
      <x:c r="B35" s="16" t="str">
        <x:v>6m Flexible Duct</x:v>
      </x:c>
      <x:c r="C35" s="16" t="str">
        <x:v>Healthy Air Duct</x:v>
      </x:c>
      <x:c r="D35" s="20" t="n">
        <x:v>11</x:v>
      </x:c>
      <x:c r="E35" s="16" t="str">
        <x:v>Local supplier</x:v>
      </x:c>
      <x:c r="F35" s="16" t="str">
        <x:v>Active</x:v>
      </x:c>
      <x:c r="G35" s="16" t="str">
        <x:v>No bends in standard scope</x:v>
      </x:c>
    </x:row>
    <x:row r="36" ht="16.799999237060547" hidden="0" customHeight="1">
      <x:c r="A36" s="16" t="str">
        <x:v>GRILLE-100</x:v>
      </x:c>
      <x:c r="B36" s="16" t="str">
        <x:v>100mm Vent Grille</x:v>
      </x:c>
      <x:c r="C36" s="16" t="str">
        <x:v>Healthy Air Grille</x:v>
      </x:c>
      <x:c r="D36" s="20" t="n">
        <x:v>16</x:v>
      </x:c>
      <x:c r="E36" s="16" t="str">
        <x:v>Local supplier</x:v>
      </x:c>
      <x:c r="F36" s="16" t="str">
        <x:v>Active</x:v>
      </x:c>
      <x:c r="G36" s="16" t="str">
        <x:v>Four per 100mm zone</x:v>
      </x:c>
    </x:row>
    <x:row r="37" ht="16.799999237060547" hidden="0" customHeight="1">
      <x:c r="A37" s="16" t="str">
        <x:v>GRILLE-150</x:v>
      </x:c>
      <x:c r="B37" s="16" t="str">
        <x:v>150mm Vent Grille</x:v>
      </x:c>
      <x:c r="C37" s="16" t="str">
        <x:v>Healthy Air Grille</x:v>
      </x:c>
      <x:c r="D37" s="20" t="n">
        <x:v>3</x:v>
      </x:c>
      <x:c r="E37" s="16" t="str">
        <x:v>Local supplier</x:v>
      </x:c>
      <x:c r="F37" s="16" t="str">
        <x:v>Active</x:v>
      </x:c>
      <x:c r="G37" s="16" t="str">
        <x:v>Four per 150mm zone</x:v>
      </x:c>
    </x:row>
    <x:row r="38" ht="26.399999618530273" hidden="0" customHeight="1">
      <x:c r="A38" s="16" t="str">
        <x:v>AIR-CONTROL</x:v>
      </x:c>
      <x:c r="B38" s="16" t="str">
        <x:v>Four-Channel Fan Control and Accessories</x:v>
      </x:c>
      <x:c r="C38" s="16" t="str">
        <x:v>Healthy Air Control</x:v>
      </x:c>
      <x:c r="D38" s="20" t="n">
        <x:v>300</x:v>
      </x:c>
      <x:c r="E38" s="16" t="str">
        <x:v>TIS / mixed</x:v>
      </x:c>
      <x:c r="F38" s="16" t="str">
        <x:v>Estimate</x:v>
      </x:c>
      <x:c r="G38" s="16" t="str">
        <x:v>On/off supply and extract fan control</x:v>
      </x:c>
    </x:row>
    <x:row r="39" ht="16.799999237060547" hidden="0" customHeight="1">
      <x:c r="A39" s="16" t="str">
        <x:v>GARDEN-RELAY</x:v>
      </x:c>
      <x:c r="B39" s="16" t="str">
        <x:v>Four-Channel TIS Relay Module</x:v>
      </x:c>
      <x:c r="C39" s="16" t="str">
        <x:v>Irrigation Control</x:v>
      </x:c>
      <x:c r="D39" s="20" t="n">
        <x:v>300</x:v>
      </x:c>
      <x:c r="E39" s="16" t="str">
        <x:v>TIS</x:v>
      </x:c>
      <x:c r="F39" s="16" t="str">
        <x:v>Active</x:v>
      </x:c>
      <x:c r="G39" s="16" t="str">
        <x:v>One front and one rear</x:v>
      </x:c>
    </x:row>
    <x:row r="40" ht="16.799999237060547" hidden="0" customHeight="1">
      <x:c r="A40" s="16" t="str">
        <x:v>PSU-24-120</x:v>
      </x:c>
      <x:c r="B40" s="16" t="str">
        <x:v>24V 120W 5A DIN Power Supply</x:v>
      </x:c>
      <x:c r="C40" s="16" t="str">
        <x:v>Garden Valve Power</x:v>
      </x:c>
      <x:c r="D40" s="20" t="n">
        <x:v>61.15</x:v>
      </x:c>
      <x:c r="E40" s="16" t="str">
        <x:v>VPS1-1502405</x:v>
      </x:c>
      <x:c r="F40" s="16" t="str">
        <x:v>Active</x:v>
      </x:c>
      <x:c r="G40" s="16" t="str">
        <x:v>DC supply; landscaper must provide compatible valve coils</x:v>
      </x:c>
    </x:row>
    <x:row r="41" ht="16.799999237060547" hidden="0" customHeight="1">
      <x:c r="A41" s="16" t="str">
        <x:v>GARDEN-BOX</x:v>
      </x:c>
      <x:c r="B41" s="16" t="str">
        <x:v>Outdoor Control Box and Terminals</x:v>
      </x:c>
      <x:c r="C41" s="16" t="str">
        <x:v>Garden Interface</x:v>
      </x:c>
      <x:c r="D41" s="20" t="n">
        <x:v>100</x:v>
      </x:c>
      <x:c r="E41" s="16" t="str">
        <x:v>Mixed</x:v>
      </x:c>
      <x:c r="F41" s="16" t="str">
        <x:v>Estimate</x:v>
      </x:c>
      <x:c r="G41" s="16" t="str">
        <x:v>One front and one rear</x:v>
      </x:c>
    </x:row>
    <x:row r="42" ht="26.399999618530273" hidden="0" customHeight="1">
      <x:c r="A42" s="16" t="str">
        <x:v>GARDEN-CABLE</x:v>
      </x:c>
      <x:c r="B42" s="16" t="str">
        <x:v>Garden BUS and Low-Voltage Cable Allowance</x:v>
      </x:c>
      <x:c r="C42" s="16" t="str">
        <x:v>Garden Cabling</x:v>
      </x:c>
      <x:c r="D42" s="20" t="n">
        <x:v>100</x:v>
      </x:c>
      <x:c r="E42" s="16" t="str">
        <x:v>Mixed</x:v>
      </x:c>
      <x:c r="F42" s="16" t="str">
        <x:v>Estimate</x:v>
      </x:c>
      <x:c r="G42" s="16" t="str">
        <x:v>No trenching</x:v>
      </x:c>
    </x:row>
    <x:row r="43" ht="26.399999618530273" hidden="0" customHeight="1">
      <x:c r="A43" s="16" t="str">
        <x:v>NVR-8-4TB</x:v>
      </x:c>
      <x:c r="B43" s="16" t="str">
        <x:v>Hikvision 8-Channel VPro PoE NVR with 4TB</x:v>
      </x:c>
      <x:c r="C43" s="16" t="str">
        <x:v>CCTV Recording</x:v>
      </x:c>
      <x:c r="D43" s="20" t="n">
        <x:v>1122.8</x:v>
      </x:c>
      <x:c r="E43" s="16" t="str">
        <x:v>Hikvision</x:v>
      </x:c>
      <x:c r="F43" s="16" t="str">
        <x:v>Active</x:v>
      </x:c>
      <x:c r="G43" s="16" t="str">
        <x:v>DS-7608NXI-I2/8P/VPRO-4TB</x:v>
      </x:c>
    </x:row>
    <x:row r="44" ht="26.399999618530273" hidden="0" customHeight="1">
      <x:c r="A44" s="16" t="str">
        <x:v>CAM-8MP</x:v>
      </x:c>
      <x:c r="B44" s="16" t="str">
        <x:v>HiLook 8MP Smart Hybrid Light Camera</x:v>
      </x:c>
      <x:c r="C44" s="16" t="str">
        <x:v>CCTV Camera</x:v>
      </x:c>
      <x:c r="D44" s="20" t="n">
        <x:v>150</x:v>
      </x:c>
      <x:c r="E44" s="16" t="str">
        <x:v>HiLook</x:v>
      </x:c>
      <x:c r="F44" s="16" t="str">
        <x:v>Active</x:v>
      </x:c>
      <x:c r="G44" s="16" t="str">
        <x:v>Confirm supplier SKU T383H versus T283H before order</x:v>
      </x:c>
    </x:row>
    <x:row r="45" ht="16.799999237060547" hidden="0" customHeight="1">
      <x:c r="A45" s="16" t="str">
        <x:v>CAM-180</x:v>
      </x:c>
      <x:c r="B45" s="16" t="str">
        <x:v>HiLook 8MP 180-degree Camera</x:v>
      </x:c>
      <x:c r="C45" s="16" t="str">
        <x:v>CCTV Camera</x:v>
      </x:c>
      <x:c r="D45" s="20" t="n">
        <x:v>180</x:v>
      </x:c>
      <x:c r="E45" s="16" t="str">
        <x:v>HiLook</x:v>
      </x:c>
      <x:c r="F45" s="16" t="str">
        <x:v>Active</x:v>
      </x:c>
      <x:c r="G45" s="16" t="str">
        <x:v>IPC-T289PH-MU/SL</x:v>
      </x:c>
    </x:row>
    <x:row r="46" ht="16.799999237060547" hidden="0" customHeight="1">
      <x:c r="A46" s="16" t="str">
        <x:v>DIG-IN-4</x:v>
      </x:c>
      <x:c r="B46" s="16" t="str">
        <x:v>TIS Four-Zone Digital Input Module</x:v>
      </x:c>
      <x:c r="C46" s="16" t="str">
        <x:v>CCTV Event Interface</x:v>
      </x:c>
      <x:c r="D46" s="20" t="n">
        <x:v>40</x:v>
      </x:c>
      <x:c r="E46" s="16" t="str">
        <x:v>TIS</x:v>
      </x:c>
      <x:c r="F46" s="16" t="str">
        <x:v>Active</x:v>
      </x:c>
      <x:c r="G46" s="16" t="str">
        <x:v>TIS-4DL-IN; indoor IP20 installation</x:v>
      </x:c>
    </x:row>
    <x:row r="47" ht="26.399999618530273" hidden="0" customHeight="1">
      <x:c r="A47" s="16" t="str">
        <x:v>CCTV-CABLE</x:v>
      </x:c>
      <x:c r="B47" s="16" t="str">
        <x:v>Four-Camera Cat6 and Mounting Allowance</x:v>
      </x:c>
      <x:c r="C47" s="16" t="str">
        <x:v>CCTV Cabling</x:v>
      </x:c>
      <x:c r="D47" s="20" t="n">
        <x:v>200</x:v>
      </x:c>
      <x:c r="E47" s="16" t="str">
        <x:v>Mixed</x:v>
      </x:c>
      <x:c r="F47" s="16" t="str">
        <x:v>Estimate</x:v>
      </x:c>
      <x:c r="G47" s="16" t="str">
        <x:v>Standard accessible single-storey/new-build allowance</x:v>
      </x:c>
    </x:row>
    <x:row r="48" ht="16.799999237060547" hidden="0" customHeight="1">
      <x:c r="A48" s="16" t="str">
        <x:v>HDD-3TB</x:v>
      </x:c>
      <x:c r="B48" s="16" t="str">
        <x:v>WD Purple 3TB Surveillance HDD</x:v>
      </x:c>
      <x:c r="C48" s="16" t="str">
        <x:v>CCTV Storage</x:v>
      </x:c>
      <x:c r="D48" s="20" t="n">
        <x:v>275</x:v>
      </x:c>
      <x:c r="E48" s="16" t="str">
        <x:v>Western Digital</x:v>
      </x:c>
      <x:c r="F48" s="16" t="str">
        <x:v>Active</x:v>
      </x:c>
      <x:c r="G48" s="16" t="str">
        <x:v>Additional second-disk storage</x:v>
      </x:c>
    </x:row>
    <x:row r="49" ht="16.799999237060547" hidden="0" customHeight="1">
      <x:c r="A49" s="16" t="str">
        <x:v>HDD-6TB</x:v>
      </x:c>
      <x:c r="B49" s="16" t="str">
        <x:v>WD Purple 6TB Surveillance HDD</x:v>
      </x:c>
      <x:c r="C49" s="16" t="str">
        <x:v>CCTV Storage</x:v>
      </x:c>
      <x:c r="D49" s="20" t="n">
        <x:v>420</x:v>
      </x:c>
      <x:c r="E49" s="16" t="str">
        <x:v>Western Digital</x:v>
      </x:c>
      <x:c r="F49" s="16" t="str">
        <x:v>Active</x:v>
      </x:c>
      <x:c r="G49" s="16" t="str">
        <x:v>Additional second-disk storage</x:v>
      </x:c>
    </x:row>
    <x:row r="50" ht="16.799999237060547" hidden="0" customHeight="1">
      <x:c r="A50" s="16" t="str">
        <x:v>SMART-TOILET</x:v>
      </x:c>
      <x:c r="B50" s="16" t="str">
        <x:v>TIS-WC-FS80 Smart Toilet</x:v>
      </x:c>
      <x:c r="C50" s="16" t="str">
        <x:v>Standalone Bathroom Appliance</x:v>
      </x:c>
      <x:c r="D50" s="20" t="n">
        <x:v>1800</x:v>
      </x:c>
      <x:c r="E50" s="16" t="str">
        <x:v>TIS</x:v>
      </x:c>
      <x:c r="F50" s="16" t="str">
        <x:v>Active</x:v>
      </x:c>
      <x:c r="G50" s="16" t="str">
        <x:v>Supply only; freight excluded</x:v>
      </x:c>
    </x:row>
  </x:sheetData>
  <x:pageMargins left="0.7" right="0.7" top="0.75" bottom="0.75" header="0.3" footer="0.3"/>
  <x:tableParts count="1">
    <x:tablePart xmlns:r="http://schemas.openxmlformats.org/officeDocument/2006/relationships" r:id="Ra0bbf892333e40b6"/>
  </x:tableParts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0" customWidth="1"/>
    <x:col min="3" max="3" width="15" customWidth="1"/>
    <x:col min="4" max="4" width="28" customWidth="1"/>
    <x:col min="5" max="5" width="10" customWidth="1"/>
    <x:col min="6" max="6" width="15" customWidth="1"/>
    <x:col min="7" max="8" width="20" customWidth="1"/>
    <x:col min="9" max="9" width="32" customWidth="1"/>
    <x:col min="10" max="11" width="42" customWidth="1"/>
    <x:col min="12" max="12" width="11.911765098571777" customWidth="1"/>
    <x:col min="13" max="13" width="18" customWidth="1"/>
    <x:col min="14" max="14" width="38" customWidth="1"/>
  </x:cols>
  <x:sheetData>
    <x:row r="1" ht="26.399999618530273" hidden="0" customHeight="1">
      <x:c r="A1" s="17" t="str">
        <x:v>Product ID</x:v>
      </x:c>
      <x:c r="B1" s="17" t="str">
        <x:v>Code</x:v>
      </x:c>
      <x:c r="C1" s="17" t="str">
        <x:v>Type</x:v>
      </x:c>
      <x:c r="D1" s="17" t="str">
        <x:v>Name</x:v>
      </x:c>
      <x:c r="E1" s="17" t="str">
        <x:v>Version</x:v>
      </x:c>
      <x:c r="F1" s="17" t="str">
        <x:v>Status</x:v>
      </x:c>
      <x:c r="G1" s="17" t="str">
        <x:v>Core Value</x:v>
      </x:c>
      <x:c r="H1" s="17" t="str">
        <x:v>Primary Emotion</x:v>
      </x:c>
      <x:c r="I1" s="17" t="str">
        <x:v>Coverage</x:v>
      </x:c>
      <x:c r="J1" s="17" t="str">
        <x:v>Hero Statement</x:v>
      </x:c>
      <x:c r="K1" s="17" t="str">
        <x:v>Subtitle</x:v>
      </x:c>
      <x:c r="L1" s="17" t="str">
        <x:v>Accent Colour</x:v>
      </x:c>
      <x:c r="M1" s="17" t="str">
        <x:v>Final Customer Price incl GST</x:v>
      </x:c>
      <x:c r="N1" s="17" t="str">
        <x:v>Notes</x:v>
      </x:c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399999618530273" hidden="0" customHeight="1">
      <x:c r="A2" s="16" t="str">
        <x:v>F-01</x:v>
      </x:c>
      <x:c r="B2" s="16" t="str">
        <x:v>F-01</x:v>
      </x:c>
      <x:c r="C2" s="16" t="str">
        <x:v>Infrastructure</x:v>
      </x:c>
      <x:c r="D2" s="16" t="str">
        <x:v>Foundation</x:v>
      </x:c>
      <x:c r="E2" s="16" t="str">
        <x:v>2.06</x:v>
      </x:c>
      <x:c r="F2" s="16" t="str">
        <x:v>Frozen</x:v>
      </x:c>
      <x:c r="G2" s="16" t="str">
        <x:v>Connectivity</x:v>
      </x:c>
      <x:c r="H2" s="16" t="str">
        <x:v>Trust</x:v>
      </x:c>
      <x:c r="I2" s="16" t="str">
        <x:v>One Better Home project</x:v>
      </x:c>
      <x:c r="J2" s="16" t="str">
        <x:v>Everything begins here.</x:v>
      </x:c>
      <x:c r="K2" s="16" t="str">
        <x:v>The intelligent foundation that powers every Better Home experience.</x:v>
      </x:c>
      <x:c r="L2" s="16" t="str">
        <x:v>#4B5563</x:v>
      </x:c>
      <x:c r="M2" s="20" t="n">
        <x:v>4999</x:v>
      </x:c>
      <x:c r="N2" s="16" t="str">
        <x:v>Mandatory once per Better Home project. Standard 10-inch screen.</x:v>
      </x:c>
    </x:row>
    <x:row r="3" ht="26.399999618530273" hidden="0" customHeight="1">
      <x:c r="A3" s="16" t="str">
        <x:v>C-01</x:v>
      </x:c>
      <x:c r="B3" s="16" t="str">
        <x:v>C-01</x:v>
      </x:c>
      <x:c r="C3" s="16" t="str">
        <x:v>Collection</x:v>
      </x:c>
      <x:c r="D3" s="16" t="str">
        <x:v>Entry Collection</x:v>
      </x:c>
      <x:c r="E3" s="16" t="str">
        <x:v>2.06</x:v>
      </x:c>
      <x:c r="F3" s="16" t="str">
        <x:v>Frozen</x:v>
      </x:c>
      <x:c r="G3" s="16" t="str">
        <x:v>Welcome</x:v>
      </x:c>
      <x:c r="H3" s="16" t="str">
        <x:v>Transition</x:v>
      </x:c>
      <x:c r="I3" s="16" t="str">
        <x:v>One primary entry</x:v>
      </x:c>
      <x:c r="J3" s="16" t="str">
        <x:v>Some welcomes don't need words.</x:v>
      </x:c>
      <x:c r="K3" s="16" t="str">
        <x:v>Before you step inside, home is already waiting.</x:v>
      </x:c>
      <x:c r="L3" s="16" t="str">
        <x:v>#B68A4A</x:v>
      </x:c>
      <x:c r="M3" s="20" t="n">
        <x:v>2499</x:v>
      </x:c>
      <x:c r="N3" s="16" t="str">
        <x:v>No One Touch Leave. Wireless video doorbell; wired intercom quoted separately.</x:v>
      </x:c>
    </x:row>
    <x:row r="4" ht="26.399999618530273" hidden="0" customHeight="1">
      <x:c r="A4" s="16" t="str">
        <x:v>C-02</x:v>
      </x:c>
      <x:c r="B4" s="16" t="str">
        <x:v>C-02</x:v>
      </x:c>
      <x:c r="C4" s="16" t="str">
        <x:v>Collection</x:v>
      </x:c>
      <x:c r="D4" s="16" t="str">
        <x:v>Living Collection</x:v>
      </x:c>
      <x:c r="E4" s="16" t="str">
        <x:v>2.06</x:v>
      </x:c>
      <x:c r="F4" s="16" t="str">
        <x:v>Frozen</x:v>
      </x:c>
      <x:c r="G4" s="16" t="str">
        <x:v>Everyday Living</x:v>
      </x:c>
      <x:c r="H4" s="16" t="str">
        <x:v>Atmosphere</x:v>
      </x:c>
      <x:c r="I4" s="16" t="str">
        <x:v>One living room / connected open plan</x:v>
      </x:c>
      <x:c r="J4" s="16" t="str">
        <x:v>One space. Many ways to live.</x:v>
      </x:c>
      <x:c r="K4" s="16" t="str">
        <x:v>The atmosphere follows your life.</x:v>
      </x:c>
      <x:c r="L4" s="16" t="str">
        <x:v>#6C7A5C</x:v>
      </x:c>
      <x:c r="M4" s="20" t="n">
        <x:v>2999</x:v>
      </x:c>
      <x:c r="N4" s="16" t="str">
        <x:v>Includes one compatible split AC IR control and one warm ambient zone.</x:v>
      </x:c>
    </x:row>
    <x:row r="5" ht="16.799999237060547" hidden="0" customHeight="1">
      <x:c r="A5" s="16" t="str">
        <x:v>C-03</x:v>
      </x:c>
      <x:c r="B5" s="16" t="str">
        <x:v>C-03</x:v>
      </x:c>
      <x:c r="C5" s="16" t="str">
        <x:v>Collection</x:v>
      </x:c>
      <x:c r="D5" s="16" t="str">
        <x:v>Kitchen Collection</x:v>
      </x:c>
      <x:c r="E5" s="16" t="str">
        <x:v>2.06</x:v>
      </x:c>
      <x:c r="F5" s="16" t="str">
        <x:v>Frozen</x:v>
      </x:c>
      <x:c r="G5" s="16" t="str">
        <x:v>Daily Cooking Workflow</x:v>
      </x:c>
      <x:c r="H5" s="16" t="str">
        <x:v>Ease</x:v>
      </x:c>
      <x:c r="I5" s="16" t="str">
        <x:v>One kitchen / connected pantry</x:v>
      </x:c>
      <x:c r="J5" s="16" t="str">
        <x:v>The day begins quietly.</x:v>
      </x:c>
      <x:c r="K5" s="16" t="str">
        <x:v>Light where you need it. Calm when you don't.</x:v>
      </x:c>
      <x:c r="L5" s="16" t="str">
        <x:v>#9A7B4F</x:v>
      </x:c>
      <x:c r="M5" s="20" t="n">
        <x:v>2499</x:v>
      </x:c>
      <x:c r="N5" s="16" t="str">
        <x:v>Healthy Air remains a separate Experience Pack.</x:v>
      </x:c>
    </x:row>
    <x:row r="6" ht="26.399999618530273" hidden="0" customHeight="1">
      <x:c r="A6" s="16" t="str">
        <x:v>C-04</x:v>
      </x:c>
      <x:c r="B6" s="16" t="str">
        <x:v>C-04</x:v>
      </x:c>
      <x:c r="C6" s="16" t="str">
        <x:v>Collection</x:v>
      </x:c>
      <x:c r="D6" s="16" t="str">
        <x:v>Bedroom Collection</x:v>
      </x:c>
      <x:c r="E6" s="16" t="str">
        <x:v>2.06</x:v>
      </x:c>
      <x:c r="F6" s="16" t="str">
        <x:v>Frozen</x:v>
      </x:c>
      <x:c r="G6" s="16" t="str">
        <x:v>Rest</x:v>
      </x:c>
      <x:c r="H6" s="16" t="str">
        <x:v>Calm</x:v>
      </x:c>
      <x:c r="I6" s="16" t="str">
        <x:v>One bedroom</x:v>
      </x:c>
      <x:c r="J6" s="16" t="str">
        <x:v>The world can wait until morning.</x:v>
      </x:c>
      <x:c r="K6" s="16" t="str">
        <x:v>Designed around deeper rest, gentler mornings and quiet control.</x:v>
      </x:c>
      <x:c r="L6" s="16" t="str">
        <x:v>#4D6073</x:v>
      </x:c>
      <x:c r="M6" s="20" t="n">
        <x:v>2699</x:v>
      </x:c>
      <x:c r="N6" s="16" t="str">
        <x:v>Includes two identical four-button bedside scene remotes.</x:v>
      </x:c>
    </x:row>
    <x:row r="7" ht="26.399999618530273" hidden="0" customHeight="1">
      <x:c r="A7" s="16" t="str">
        <x:v>C-05</x:v>
      </x:c>
      <x:c r="B7" s="16" t="str">
        <x:v>C-05</x:v>
      </x:c>
      <x:c r="C7" s="16" t="str">
        <x:v>Collection</x:v>
      </x:c>
      <x:c r="D7" s="16" t="str">
        <x:v>Bathroom Collection</x:v>
      </x:c>
      <x:c r="E7" s="16" t="str">
        <x:v>2.06</x:v>
      </x:c>
      <x:c r="F7" s="16" t="str">
        <x:v>Frozen</x:v>
      </x:c>
      <x:c r="G7" s="16" t="str">
        <x:v>Comfort</x:v>
      </x:c>
      <x:c r="H7" s="16" t="str">
        <x:v>Calm</x:v>
      </x:c>
      <x:c r="I7" s="16" t="str">
        <x:v>One bathroom / ensuite / powder room</x:v>
      </x:c>
      <x:c r="J7" s="16" t="str">
        <x:v>Every day begins and ends in comfort.</x:v>
      </x:c>
      <x:c r="K7" s="16" t="str">
        <x:v>Light and ventilation settle into the rhythm of the room.</x:v>
      </x:c>
      <x:c r="L7" s="16" t="str">
        <x:v>#6E8F9C</x:v>
      </x:c>
      <x:c r="M7" s="20" t="n">
        <x:v>2199</x:v>
      </x:c>
      <x:c r="N7" s="16" t="str">
        <x:v>Controls one existing compatible exhaust fan; fan body excluded.</x:v>
      </x:c>
    </x:row>
    <x:row r="8" ht="26.399999618530273" hidden="0" customHeight="1">
      <x:c r="A8" s="16" t="str">
        <x:v>C-06</x:v>
      </x:c>
      <x:c r="B8" s="16" t="str">
        <x:v>C-06</x:v>
      </x:c>
      <x:c r="C8" s="16" t="str">
        <x:v>Collection</x:v>
      </x:c>
      <x:c r="D8" s="16" t="str">
        <x:v>Away Collection</x:v>
      </x:c>
      <x:c r="E8" s="16" t="str">
        <x:v>2.06</x:v>
      </x:c>
      <x:c r="F8" s="16" t="str">
        <x:v>Frozen</x:v>
      </x:c>
      <x:c r="G8" s="16" t="str">
        <x:v>Home Awareness</x:v>
      </x:c>
      <x:c r="H8" s="16" t="str">
        <x:v>Peace of Mind</x:v>
      </x:c>
      <x:c r="I8" s="16" t="str">
        <x:v>Whole-home logic over existing Collections</x:v>
      </x:c>
      <x:c r="J8" s="16" t="str">
        <x:v>Leave knowing home has settled.</x:v>
      </x:c>
      <x:c r="K8" s="16" t="str">
        <x:v>A clear departure, a quieter return.</x:v>
      </x:c>
      <x:c r="L8" s="16" t="str">
        <x:v>#475569</x:v>
      </x:c>
      <x:c r="M8" s="20" t="n">
        <x:v>1499</x:v>
      </x:c>
      <x:c r="N8" s="16" t="str">
        <x:v>Includes four wireless contacts. Not alarm or security monitoring.</x:v>
      </x:c>
    </x:row>
    <x:row r="9" ht="26.399999618530273" hidden="0" customHeight="1">
      <x:c r="A9" s="16" t="str">
        <x:v>E-01</x:v>
      </x:c>
      <x:c r="B9" s="16" t="str">
        <x:v>E-01</x:v>
      </x:c>
      <x:c r="C9" s="16" t="str">
        <x:v>Experience Pack</x:v>
      </x:c>
      <x:c r="D9" s="16" t="str">
        <x:v>Mood Lighting</x:v>
      </x:c>
      <x:c r="E9" s="16" t="str">
        <x:v>2.06</x:v>
      </x:c>
      <x:c r="F9" s="16" t="str">
        <x:v>Frozen</x:v>
      </x:c>
      <x:c r="G9" s="16" t="str">
        <x:v>Atmosphere</x:v>
      </x:c>
      <x:c r="H9" s="16" t="str">
        <x:v>Emotional Wellbeing</x:v>
      </x:c>
      <x:c r="I9" s="16" t="str">
        <x:v>One compatible Living / Bedroom / Bathroom</x:v>
      </x:c>
      <x:c r="J9" s="16" t="str">
        <x:v>Colour, warmth and atmosphere for the moments that matter.</x:v>
      </x:c>
      <x:c r="K9" s="16" t="str">
        <x:v>A richer layer for the scenes you already use.</x:v>
      </x:c>
      <x:c r="L9" s="16" t="str">
        <x:v>#7C3AED</x:v>
      </x:c>
      <x:c r="M9" s="20" t="n">
        <x:v>1499</x:v>
      </x:c>
      <x:c r="N9" s="16" t="str">
        <x:v>Two colour zones, total 10m, plus two colour bulbs.</x:v>
      </x:c>
    </x:row>
    <x:row r="10" ht="26.399999618530273" hidden="0" customHeight="1">
      <x:c r="A10" s="16" t="str">
        <x:v>E-02</x:v>
      </x:c>
      <x:c r="B10" s="16" t="str">
        <x:v>E-02</x:v>
      </x:c>
      <x:c r="C10" s="16" t="str">
        <x:v>Experience Pack</x:v>
      </x:c>
      <x:c r="D10" s="16" t="str">
        <x:v>Climate</x:v>
      </x:c>
      <x:c r="E10" s="16" t="str">
        <x:v>2.06</x:v>
      </x:c>
      <x:c r="F10" s="16" t="str">
        <x:v>Frozen</x:v>
      </x:c>
      <x:c r="G10" s="16" t="str">
        <x:v>Invisible Comfort</x:v>
      </x:c>
      <x:c r="H10" s="16" t="str">
        <x:v>Comfort</x:v>
      </x:c>
      <x:c r="I10" s="16" t="str">
        <x:v>One compatible ducted HVAC system, up to 6 existing zones</x:v>
      </x:c>
      <x:c r="J10" s="16" t="str">
        <x:v>Comfort should never ask for attention.</x:v>
      </x:c>
      <x:c r="K10" s="16" t="str">
        <x:v>The home quietly manages comfort as life moves through it.</x:v>
      </x:c>
      <x:c r="L10" s="16" t="str">
        <x:v>#64748B</x:v>
      </x:c>
      <x:c r="M10" s="20" t="n">
        <x:v>2699</x:v>
      </x:c>
      <x:c r="N10" s="16" t="str">
        <x:v>Existing operational HVAC and zone motors only. Zones 7-12 expansion $1,299.</x:v>
      </x:c>
    </x:row>
    <x:row r="11" ht="26.399999618530273" hidden="0" customHeight="1">
      <x:c r="A11" s="16" t="str">
        <x:v>E-03</x:v>
      </x:c>
      <x:c r="B11" s="16" t="str">
        <x:v>E-03</x:v>
      </x:c>
      <x:c r="C11" s="16" t="str">
        <x:v>Experience Pack</x:v>
      </x:c>
      <x:c r="D11" s="16" t="str">
        <x:v>Healthy Air</x:v>
      </x:c>
      <x:c r="E11" s="16" t="str">
        <x:v>2.06</x:v>
      </x:c>
      <x:c r="F11" s="16" t="str">
        <x:v>Frozen</x:v>
      </x:c>
      <x:c r="G11" s="16" t="str">
        <x:v>Air Recovery</x:v>
      </x:c>
      <x:c r="H11" s="16" t="str">
        <x:v>Health</x:v>
      </x:c>
      <x:c r="I11" s="16" t="str">
        <x:v>One compatible Collection room / zone</x:v>
      </x:c>
      <x:c r="J11" s="16" t="str">
        <x:v>A healthy home restores itself.</x:v>
      </x:c>
      <x:c r="K11" s="16" t="str">
        <x:v>Fresh-air recovery guided by the room and the day outside.</x:v>
      </x:c>
      <x:c r="L11" s="16" t="str">
        <x:v>#0F766E</x:v>
      </x:c>
      <x:c r="M11" s="20" t="n">
        <x:v>2999</x:v>
      </x:c>
      <x:c r="N11" s="16" t="str">
        <x:v>Provisional price; first installation review required. No filters or PM2.5 claim.</x:v>
      </x:c>
    </x:row>
    <x:row r="12" ht="26.399999618530273" hidden="0" customHeight="1">
      <x:c r="A12" s="16" t="str">
        <x:v>E-04</x:v>
      </x:c>
      <x:c r="B12" s="16" t="str">
        <x:v>E-04</x:v>
      </x:c>
      <x:c r="C12" s="16" t="str">
        <x:v>Experience Pack</x:v>
      </x:c>
      <x:c r="D12" s="16" t="str">
        <x:v>Garden Care</x:v>
      </x:c>
      <x:c r="E12" s="16" t="str">
        <x:v>2.06</x:v>
      </x:c>
      <x:c r="F12" s="16" t="str">
        <x:v>Frozen</x:v>
      </x:c>
      <x:c r="G12" s="16" t="str">
        <x:v>Quiet Care</x:v>
      </x:c>
      <x:c r="H12" s="16" t="str">
        <x:v>Care</x:v>
      </x:c>
      <x:c r="I12" s="16" t="str">
        <x:v>Front and rear garden control interface</x:v>
      </x:c>
      <x:c r="J12" s="16" t="str">
        <x:v>A beautiful garden quietly looks after itself.</x:v>
      </x:c>
      <x:c r="K12" s="16" t="str">
        <x:v>Weather-aware control, ready for the irrigation your landscaper installs.</x:v>
      </x:c>
      <x:c r="L12" s="16" t="str">
        <x:v>#4D7C0F</x:v>
      </x:c>
      <x:c r="M12" s="20" t="n">
        <x:v>2999</x:v>
      </x:c>
      <x:c r="N12" s="16" t="str">
        <x:v>Control infrastructure only. Standard 4 configured zones; hardware capacity 8.</x:v>
      </x:c>
    </x:row>
    <x:row r="13" ht="26.399999618530273" hidden="0" customHeight="1">
      <x:c r="A13" s="16" t="str">
        <x:v>E-05</x:v>
      </x:c>
      <x:c r="B13" s="16" t="str">
        <x:v>E-05</x:v>
      </x:c>
      <x:c r="C13" s="16" t="str">
        <x:v>Bonus</x:v>
      </x:c>
      <x:c r="D13" s="16" t="str">
        <x:v>Protection Bonus</x:v>
      </x:c>
      <x:c r="E13" s="16" t="str">
        <x:v>2.06</x:v>
      </x:c>
      <x:c r="F13" s="16" t="str">
        <x:v>Frozen</x:v>
      </x:c>
      <x:c r="G13" s="16" t="str">
        <x:v>Visible Response</x:v>
      </x:c>
      <x:c r="H13" s="16" t="str">
        <x:v>Confidence</x:v>
      </x:c>
      <x:c r="I13" s="16" t="str">
        <x:v>Requires Entry + Away + CCTV</x:v>
      </x:c>
      <x:c r="J13" s="16" t="str">
        <x:v>The house makes its presence known.</x:v>
      </x:c>
      <x:c r="K13" s="16" t="str">
        <x:v>Visible response without noise.</x:v>
      </x:c>
      <x:c r="L13" s="16" t="str">
        <x:v>#334155</x:v>
      </x:c>
      <x:c r="M13" s="20" t="n">
        <x:v>0</x:v>
      </x:c>
      <x:c r="N13" s="16" t="str">
        <x:v>Not separately purchasable. Camera white light and selected front-visible lights respond.</x:v>
      </x:c>
    </x:row>
    <x:row r="14" ht="26.399999618530273" hidden="0" customHeight="1">
      <x:c r="A14" s="16" t="str">
        <x:v>E-06</x:v>
      </x:c>
      <x:c r="B14" s="16" t="str">
        <x:v>E-06</x:v>
      </x:c>
      <x:c r="C14" s="16" t="str">
        <x:v>Product Pack</x:v>
      </x:c>
      <x:c r="D14" s="16" t="str">
        <x:v>CCTV</x:v>
      </x:c>
      <x:c r="E14" s="16" t="str">
        <x:v>2.06</x:v>
      </x:c>
      <x:c r="F14" s="16" t="str">
        <x:v>Frozen</x:v>
      </x:c>
      <x:c r="G14" s="16" t="str">
        <x:v>Visibility</x:v>
      </x:c>
      <x:c r="H14" s="16" t="str">
        <x:v>Control</x:v>
      </x:c>
      <x:c r="I14" s="16" t="str">
        <x:v>One property; 4 standard camera positions</x:v>
      </x:c>
      <x:c r="J14" s="16" t="str">
        <x:v>See what happened. Know what matters.</x:v>
      </x:c>
      <x:c r="K14" s="16" t="str">
        <x:v>Professional local recording with room to expand.</x:v>
      </x:c>
      <x:c r="L14" s="16" t="str">
        <x:v>#1F2937</x:v>
      </x:c>
      <x:c r="M14" s="20" t="n">
        <x:v>3999</x:v>
      </x:c>
      <x:c r="N14" s="16" t="str">
        <x:v>From price. 4 HiLook 8MP cameras, Hikvision 8-channel VPro NVR, 4TB.</x:v>
      </x:c>
    </x:row>
    <x:row r="15" ht="26.399999618530273" hidden="0" customHeight="1">
      <x:c r="A15" s="16" t="str">
        <x:v>E-07</x:v>
      </x:c>
      <x:c r="B15" s="16" t="str">
        <x:v>E-07</x:v>
      </x:c>
      <x:c r="C15" s="16" t="str">
        <x:v>Standalone Product</x:v>
      </x:c>
      <x:c r="D15" s="16" t="str">
        <x:v>Smart Toilet</x:v>
      </x:c>
      <x:c r="E15" s="16" t="str">
        <x:v>2.06</x:v>
      </x:c>
      <x:c r="F15" s="16" t="str">
        <x:v>Frozen</x:v>
      </x:c>
      <x:c r="G15" s="16" t="str">
        <x:v>Personal Comfort</x:v>
      </x:c>
      <x:c r="H15" s="16" t="str">
        <x:v>Wellbeing</x:v>
      </x:c>
      <x:c r="I15" s="16" t="str">
        <x:v>One toilet</x:v>
      </x:c>
      <x:c r="J15" s="16" t="str">
        <x:v>Comfort, cleanliness and quiet convenience.</x:v>
      </x:c>
      <x:c r="K15" s="16" t="str">
        <x:v>A complete smart toilet that works independently.</x:v>
      </x:c>
      <x:c r="L15" s="16" t="str">
        <x:v>#0891B2</x:v>
      </x:c>
      <x:c r="M15" s="20" t="n">
        <x:v>3299</x:v>
      </x:c>
      <x:c r="N15" s="16" t="str">
        <x:v>Supply only. Delivery, plumbing and electrical work excluded.</x:v>
      </x:c>
    </x:row>
    <x:row r="16">
      <x:c r="M16" s="12"/>
    </x:row>
    <x:row r="17">
      <x:c r="M17" s="12"/>
    </x:row>
    <x:row r="18">
      <x:c r="M18" s="12"/>
    </x:row>
    <x:row r="19">
      <x:c r="M19" s="12"/>
    </x:row>
    <x:row r="20">
      <x:c r="M20" s="12"/>
    </x:row>
  </x:sheetData>
  <x:pageMargins left="0.7" right="0.7" top="0.75" bottom="0.75" header="0.3" footer="0.3"/>
  <x:tableParts count="1">
    <x:tablePart xmlns:r="http://schemas.openxmlformats.org/officeDocument/2006/relationships" r:id="Reccb7d65a8124812"/>
  </x:tableParts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0" customWidth="1"/>
    <x:col min="3" max="3" width="28" customWidth="1"/>
    <x:col min="4" max="4" width="82" customWidth="1"/>
    <x:col min="5" max="5" width="14" customWidth="1"/>
  </x:cols>
  <x:sheetData>
    <x:row r="1" ht="16.799999237060547" hidden="0" customHeight="1">
      <x:c r="A1" s="17" t="str">
        <x:v>Product ID</x:v>
      </x:c>
      <x:c r="B1" s="17" t="str">
        <x:v>Sequence</x:v>
      </x:c>
      <x:c r="C1" s="17" t="str">
        <x:v>Experience Title</x:v>
      </x:c>
      <x:c r="D1" s="17" t="str">
        <x:v>Customer-Facing Description</x:v>
      </x:c>
      <x:c r="E1" s="17" t="str">
        <x:v>Status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n">
        <x:v>1</x:v>
      </x:c>
      <x:c r="C2" s="16" t="str">
        <x:v>Connected Home</x:v>
      </x:c>
      <x:c r="D2" s="16" t="str">
        <x:v>One foundation connects every Better Home Collection into a single home.</x:v>
      </x:c>
      <x:c r="E2" s="16" t="str">
        <x:v>Frozen</x:v>
      </x:c>
    </x:row>
    <x:row r="3" ht="16.799999237060547" hidden="0" customHeight="1">
      <x:c r="A3" s="16" t="str">
        <x:v>F-01</x:v>
      </x:c>
      <x:c r="B3" s="16" t="n">
        <x:v>2</x:v>
      </x:c>
      <x:c r="C3" s="16" t="str">
        <x:v>Future Ready</x:v>
      </x:c>
      <x:c r="D3" s="16" t="str">
        <x:v>New rooms and experiences can be added without rebuilding the core.</x:v>
      </x:c>
      <x:c r="E3" s="16" t="str">
        <x:v>Frozen</x:v>
      </x:c>
    </x:row>
    <x:row r="4" ht="16.799999237060547" hidden="0" customHeight="1">
      <x:c r="A4" s="16" t="str">
        <x:v>C-01</x:v>
      </x:c>
      <x:c r="B4" s="16" t="n">
        <x:v>1</x:v>
      </x:c>
      <x:c r="C4" s="16" t="str">
        <x:v>Outdoor Welcome</x:v>
      </x:c>
      <x:c r="D4" s="16" t="str">
        <x:v>An outdoor PIR brings selected entry lighting on as you approach.</x:v>
      </x:c>
      <x:c r="E4" s="16" t="str">
        <x:v>Frozen</x:v>
      </x:c>
    </x:row>
    <x:row r="5" ht="16.799999237060547" hidden="0" customHeight="1">
      <x:c r="A5" s="16" t="str">
        <x:v>C-01</x:v>
      </x:c>
      <x:c r="B5" s="16" t="n">
        <x:v>2</x:v>
      </x:c>
      <x:c r="C5" s="16" t="str">
        <x:v>Indoor Welcome</x:v>
      </x:c>
      <x:c r="D5" s="16" t="str">
        <x:v>The hall responds when someone enters the home.</x:v>
      </x:c>
      <x:c r="E5" s="16" t="str">
        <x:v>Frozen</x:v>
      </x:c>
    </x:row>
    <x:row r="6" ht="16.799999237060547" hidden="0" customHeight="1">
      <x:c r="A6" s="16" t="str">
        <x:v>C-01</x:v>
      </x:c>
      <x:c r="B6" s="16" t="n">
        <x:v>3</x:v>
      </x:c>
      <x:c r="C6" s="16" t="str">
        <x:v>Smart Access</x:v>
      </x:c>
      <x:c r="D6" s="16" t="str">
        <x:v>Unlock with fingerprint, PIN or app on the compatible smart lock.</x:v>
      </x:c>
      <x:c r="E6" s="16" t="str">
        <x:v>Frozen</x:v>
      </x:c>
    </x:row>
    <x:row r="7" ht="16.799999237060547" hidden="0" customHeight="1">
      <x:c r="A7" s="16" t="str">
        <x:v>C-01</x:v>
      </x:c>
      <x:c r="B7" s="16" t="n">
        <x:v>4</x:v>
      </x:c>
      <x:c r="C7" s="16" t="str">
        <x:v>Door Communication</x:v>
      </x:c>
      <x:c r="D7" s="16" t="str">
        <x:v>See and speak with visitors through the wireless video doorbell.</x:v>
      </x:c>
      <x:c r="E7" s="16" t="str">
        <x:v>Frozen</x:v>
      </x:c>
    </x:row>
    <x:row r="8" ht="16.799999237060547" hidden="0" customHeight="1">
      <x:c r="A8" s="16" t="str">
        <x:v>C-02</x:v>
      </x:c>
      <x:c r="B8" s="16" t="n">
        <x:v>1</x:v>
      </x:c>
      <x:c r="C8" s="16" t="str">
        <x:v>Lights Follow You</x:v>
      </x:c>
      <x:c r="D8" s="16" t="str">
        <x:v>Lighting welcomes occupancy and settles after the room is empty.</x:v>
      </x:c>
      <x:c r="E8" s="16" t="str">
        <x:v>Frozen</x:v>
      </x:c>
    </x:row>
    <x:row r="9" ht="16.799999237060547" hidden="0" customHeight="1">
      <x:c r="A9" s="16" t="str">
        <x:v>C-02</x:v>
      </x:c>
      <x:c r="B9" s="16" t="n">
        <x:v>2</x:v>
      </x:c>
      <x:c r="C9" s="16" t="str">
        <x:v>Everyday Climate Comfort</x:v>
      </x:c>
      <x:c r="D9" s="16" t="str">
        <x:v>One compatible split system responds through the multifunction sensor.</x:v>
      </x:c>
      <x:c r="E9" s="16" t="str">
        <x:v>Frozen</x:v>
      </x:c>
    </x:row>
    <x:row r="10" ht="16.799999237060547" hidden="0" customHeight="1">
      <x:c r="A10" s="16" t="str">
        <x:v>C-02</x:v>
      </x:c>
      <x:c r="B10" s="16" t="n">
        <x:v>3</x:v>
      </x:c>
      <x:c r="C10" s="16" t="str">
        <x:v>Movie</x:v>
      </x:c>
      <x:c r="D10" s="16" t="str">
        <x:v>Lights dim, the curtain closes and the room becomes quieter.</x:v>
      </x:c>
      <x:c r="E10" s="16" t="str">
        <x:v>Frozen</x:v>
      </x:c>
    </x:row>
    <x:row r="11" ht="16.799999237060547" hidden="0" customHeight="1">
      <x:c r="A11" s="16" t="str">
        <x:v>C-02</x:v>
      </x:c>
      <x:c r="B11" s="16" t="n">
        <x:v>4</x:v>
      </x:c>
      <x:c r="C11" s="16" t="str">
        <x:v>Reading</x:v>
      </x:c>
      <x:c r="D11" s="16" t="str">
        <x:v>A brighter lighting scene supports focused reading.</x:v>
      </x:c>
      <x:c r="E11" s="16" t="str">
        <x:v>Frozen</x:v>
      </x:c>
    </x:row>
    <x:row r="12" ht="16.799999237060547" hidden="0" customHeight="1">
      <x:c r="A12" s="16" t="str">
        <x:v>C-02</x:v>
      </x:c>
      <x:c r="B12" s="16" t="n">
        <x:v>5</x:v>
      </x:c>
      <x:c r="C12" s="16" t="str">
        <x:v>Relax</x:v>
      </x:c>
      <x:c r="D12" s="16" t="str">
        <x:v>A darker warm scene helps the room slow down.</x:v>
      </x:c>
      <x:c r="E12" s="16" t="str">
        <x:v>Frozen</x:v>
      </x:c>
    </x:row>
    <x:row r="13" ht="16.799999237060547" hidden="0" customHeight="1">
      <x:c r="A13" s="16" t="str">
        <x:v>C-03</x:v>
      </x:c>
      <x:c r="B13" s="16" t="n">
        <x:v>1</x:v>
      </x:c>
      <x:c r="C13" s="16" t="str">
        <x:v>Morning Ready</x:v>
      </x:c>
      <x:c r="D13" s="16" t="str">
        <x:v>Useful information and compatible appliances are ready for the morning.</x:v>
      </x:c>
      <x:c r="E13" s="16" t="str">
        <x:v>Frozen</x:v>
      </x:c>
    </x:row>
    <x:row r="14" ht="16.799999237060547" hidden="0" customHeight="1">
      <x:c r="A14" s="16" t="str">
        <x:v>C-03</x:v>
      </x:c>
      <x:c r="B14" s="16" t="n">
        <x:v>2</x:v>
      </x:c>
      <x:c r="C14" s="16" t="str">
        <x:v>Cooking Scene</x:v>
      </x:c>
      <x:c r="D14" s="16" t="str">
        <x:v>Task lighting supports everyday preparation.</x:v>
      </x:c>
      <x:c r="E14" s="16" t="str">
        <x:v>Frozen</x:v>
      </x:c>
    </x:row>
    <x:row r="15" ht="16.799999237060547" hidden="0" customHeight="1">
      <x:c r="A15" s="16" t="str">
        <x:v>C-03</x:v>
      </x:c>
      <x:c r="B15" s="16" t="n">
        <x:v>3</x:v>
      </x:c>
      <x:c r="C15" s="16" t="str">
        <x:v>Night Kitchen</x:v>
      </x:c>
      <x:c r="D15" s="16" t="str">
        <x:v>A warm low-level path avoids harsh overhead light.</x:v>
      </x:c>
      <x:c r="E15" s="16" t="str">
        <x:v>Frozen</x:v>
      </x:c>
    </x:row>
    <x:row r="16" ht="16.799999237060547" hidden="0" customHeight="1">
      <x:c r="A16" s="16" t="str">
        <x:v>C-03</x:v>
      </x:c>
      <x:c r="B16" s="16" t="n">
        <x:v>4</x:v>
      </x:c>
      <x:c r="C16" s="16" t="str">
        <x:v>Hands-Free Lighting</x:v>
      </x:c>
      <x:c r="D16" s="16" t="str">
        <x:v>Occupancy supports lighting without interrupting the workflow.</x:v>
      </x:c>
      <x:c r="E16" s="16" t="str">
        <x:v>Frozen</x:v>
      </x:c>
    </x:row>
    <x:row r="17" ht="16.799999237060547" hidden="0" customHeight="1">
      <x:c r="A17" s="16" t="str">
        <x:v>C-04</x:v>
      </x:c>
      <x:c r="B17" s="16" t="n">
        <x:v>1</x:v>
      </x:c>
      <x:c r="C17" s="16" t="str">
        <x:v>Good Night</x:v>
      </x:c>
      <x:c r="D17" s="16" t="str">
        <x:v>Lights settle, the curtain closes and the room prepares for rest.</x:v>
      </x:c>
      <x:c r="E17" s="16" t="str">
        <x:v>Frozen</x:v>
      </x:c>
    </x:row>
    <x:row r="18" ht="16.799999237060547" hidden="0" customHeight="1">
      <x:c r="A18" s="16" t="str">
        <x:v>C-04</x:v>
      </x:c>
      <x:c r="B18" s="16" t="n">
        <x:v>2</x:v>
      </x:c>
      <x:c r="C18" s="16" t="str">
        <x:v>Night Path</x:v>
      </x:c>
      <x:c r="D18" s="16" t="str">
        <x:v>A low warm light responds to movement during the night.</x:v>
      </x:c>
      <x:c r="E18" s="16" t="str">
        <x:v>Frozen</x:v>
      </x:c>
    </x:row>
    <x:row r="19" ht="16.799999237060547" hidden="0" customHeight="1">
      <x:c r="A19" s="16" t="str">
        <x:v>C-04</x:v>
      </x:c>
      <x:c r="B19" s="16" t="n">
        <x:v>3</x:v>
      </x:c>
      <x:c r="C19" s="16" t="str">
        <x:v>Gentle Wake</x:v>
      </x:c>
      <x:c r="D19" s="16" t="str">
        <x:v>Lighting and curtain timing help the morning arrive gradually.</x:v>
      </x:c>
      <x:c r="E19" s="16" t="str">
        <x:v>Frozen</x:v>
      </x:c>
    </x:row>
    <x:row r="20" ht="16.799999237060547" hidden="0" customHeight="1">
      <x:c r="A20" s="16" t="str">
        <x:v>C-04</x:v>
      </x:c>
      <x:c r="B20" s="16" t="n">
        <x:v>4</x:v>
      </x:c>
      <x:c r="C20" s="16" t="str">
        <x:v>Sleep Sounds</x:v>
      </x:c>
      <x:c r="D20" s="16" t="str">
        <x:v>The smart speaker can support compatible sleep audio.</x:v>
      </x:c>
      <x:c r="E20" s="16" t="str">
        <x:v>Frozen</x:v>
      </x:c>
    </x:row>
    <x:row r="21" ht="16.799999237060547" hidden="0" customHeight="1">
      <x:c r="A21" s="16" t="str">
        <x:v>C-05</x:v>
      </x:c>
      <x:c r="B21" s="16" t="n">
        <x:v>1</x:v>
      </x:c>
      <x:c r="C21" s="16" t="str">
        <x:v>Everyday Mode</x:v>
      </x:c>
      <x:c r="D21" s="16" t="str">
        <x:v>Lighting and one existing exhaust fan respond to normal use.</x:v>
      </x:c>
      <x:c r="E21" s="16" t="str">
        <x:v>Frozen</x:v>
      </x:c>
    </x:row>
    <x:row r="22" ht="16.799999237060547" hidden="0" customHeight="1">
      <x:c r="A22" s="16" t="str">
        <x:v>C-05</x:v>
      </x:c>
      <x:c r="B22" s="16" t="n">
        <x:v>2</x:v>
      </x:c>
      <x:c r="C22" s="16" t="str">
        <x:v>Shower Mode</x:v>
      </x:c>
      <x:c r="D22" s="16" t="str">
        <x:v>A manual scene starts compatible lighting, ventilation and existing heating loads.</x:v>
      </x:c>
      <x:c r="E22" s="16" t="str">
        <x:v>Frozen</x:v>
      </x:c>
    </x:row>
    <x:row r="23" ht="16.799999237060547" hidden="0" customHeight="1">
      <x:c r="A23" s="16" t="str">
        <x:v>C-05</x:v>
      </x:c>
      <x:c r="B23" s="16" t="n">
        <x:v>3</x:v>
      </x:c>
      <x:c r="C23" s="16" t="str">
        <x:v>Night Mode</x:v>
      </x:c>
      <x:c r="D23" s="16" t="str">
        <x:v>A warm low-level guide avoids the main light.</x:v>
      </x:c>
      <x:c r="E23" s="16" t="str">
        <x:v>Frozen</x:v>
      </x:c>
    </x:row>
    <x:row r="24" ht="16.799999237060547" hidden="0" customHeight="1">
      <x:c r="A24" s="16" t="str">
        <x:v>C-06</x:v>
      </x:c>
      <x:c r="B24" s="16" t="n">
        <x:v>1</x:v>
      </x:c>
      <x:c r="C24" s="16" t="str">
        <x:v>Leave Home</x:v>
      </x:c>
      <x:c r="D24" s="16" t="str">
        <x:v>A screen, app or assigned scene key starts the departure flow.</x:v>
      </x:c>
      <x:c r="E24" s="16" t="str">
        <x:v>Frozen</x:v>
      </x:c>
    </x:row>
    <x:row r="25" ht="16.799999237060547" hidden="0" customHeight="1">
      <x:c r="A25" s="16" t="str">
        <x:v>C-06</x:v>
      </x:c>
      <x:c r="B25" s="16" t="n">
        <x:v>2</x:v>
      </x:c>
      <x:c r="C25" s="16" t="str">
        <x:v>Home Check</x:v>
      </x:c>
      <x:c r="D25" s="16" t="str">
        <x:v>Selected contacts are checked before the countdown completes.</x:v>
      </x:c>
      <x:c r="E25" s="16" t="str">
        <x:v>Frozen</x:v>
      </x:c>
    </x:row>
    <x:row r="26" ht="16.799999237060547" hidden="0" customHeight="1">
      <x:c r="A26" s="16" t="str">
        <x:v>C-06</x:v>
      </x:c>
      <x:c r="B26" s="16" t="n">
        <x:v>3</x:v>
      </x:c>
      <x:c r="C26" s="16" t="str">
        <x:v>Away Mode</x:v>
      </x:c>
      <x:c r="D26" s="16" t="str">
        <x:v>Connected Collection devices settle into the chosen away state.</x:v>
      </x:c>
      <x:c r="E26" s="16" t="str">
        <x:v>Frozen</x:v>
      </x:c>
    </x:row>
    <x:row r="27" ht="16.799999237060547" hidden="0" customHeight="1">
      <x:c r="A27" s="16" t="str">
        <x:v>C-06</x:v>
      </x:c>
      <x:c r="B27" s="16" t="n">
        <x:v>4</x:v>
      </x:c>
      <x:c r="C27" s="16" t="str">
        <x:v>Holiday Mode</x:v>
      </x:c>
      <x:c r="D27" s="16" t="str">
        <x:v>Selected existing lights follow a brief variable evening pattern.</x:v>
      </x:c>
      <x:c r="E27" s="16" t="str">
        <x:v>Frozen</x:v>
      </x:c>
    </x:row>
    <x:row r="28" ht="16.799999237060547" hidden="0" customHeight="1">
      <x:c r="A28" s="16" t="str">
        <x:v>E-01</x:v>
      </x:c>
      <x:c r="B28" s="16" t="n">
        <x:v>1</x:v>
      </x:c>
      <x:c r="C28" s="16" t="str">
        <x:v>Richer Collection Scenes</x:v>
      </x:c>
      <x:c r="D28" s="16" t="str">
        <x:v>Movie, Relax, Reading, Good Night and Night Path gain colour and atmosphere.</x:v>
      </x:c>
      <x:c r="E28" s="16" t="str">
        <x:v>Frozen</x:v>
      </x:c>
    </x:row>
    <x:row r="29" ht="16.799999237060547" hidden="0" customHeight="1">
      <x:c r="A29" s="16" t="str">
        <x:v>E-01</x:v>
      </x:c>
      <x:c r="B29" s="16" t="n">
        <x:v>2</x:v>
      </x:c>
      <x:c r="C29" s="16" t="str">
        <x:v>Romance</x:v>
      </x:c>
      <x:c r="D29" s="16" t="str">
        <x:v>A restrained colour scene adds warmth without becoming a lighting showroom.</x:v>
      </x:c>
      <x:c r="E29" s="16" t="str">
        <x:v>Frozen</x:v>
      </x:c>
    </x:row>
    <x:row r="30" ht="16.799999237060547" hidden="0" customHeight="1">
      <x:c r="A30" s="16" t="str">
        <x:v>E-01</x:v>
      </x:c>
      <x:c r="B30" s="16" t="n">
        <x:v>3</x:v>
      </x:c>
      <x:c r="C30" s="16" t="str">
        <x:v>Hourly Light Clock</x:v>
      </x:c>
      <x:c r="D30" s="16" t="str">
        <x:v>In Bedroom, Night Path can show a unique colour for each hour overnight.</x:v>
      </x:c>
      <x:c r="E30" s="16" t="str">
        <x:v>Frozen</x:v>
      </x:c>
    </x:row>
    <x:row r="31" ht="16.799999237060547" hidden="0" customHeight="1">
      <x:c r="A31" s="16" t="str">
        <x:v>E-02</x:v>
      </x:c>
      <x:c r="B31" s="16" t="n">
        <x:v>1</x:v>
      </x:c>
      <x:c r="C31" s="16" t="str">
        <x:v>Comfort Follows You</x:v>
      </x:c>
      <x:c r="D31" s="16" t="str">
        <x:v>Existing zones respond to occupancy and temperature with deliberate delays.</x:v>
      </x:c>
      <x:c r="E31" s="16" t="str">
        <x:v>Frozen</x:v>
      </x:c>
    </x:row>
    <x:row r="32" ht="16.799999237060547" hidden="0" customHeight="1">
      <x:c r="A32" s="16" t="str">
        <x:v>E-02</x:v>
      </x:c>
      <x:c r="B32" s="16" t="n">
        <x:v>2</x:v>
      </x:c>
      <x:c r="C32" s="16" t="str">
        <x:v>Automatic HVAC Management</x:v>
      </x:c>
      <x:c r="D32" s="16" t="str">
        <x:v>Mode, operation and existing zones are coordinated without constant adjustment.</x:v>
      </x:c>
      <x:c r="E32" s="16" t="str">
        <x:v>Frozen</x:v>
      </x:c>
    </x:row>
    <x:row r="33" ht="16.799999237060547" hidden="0" customHeight="1">
      <x:c r="A33" s="16" t="str">
        <x:v>E-03</x:v>
      </x:c>
      <x:c r="B33" s="16" t="n">
        <x:v>1</x:v>
      </x:c>
      <x:c r="C33" s="16" t="str">
        <x:v>Balanced Air Exchange</x:v>
      </x:c>
      <x:c r="D33" s="16" t="str">
        <x:v>Supply and extract fans work together when outdoor conditions are suitable.</x:v>
      </x:c>
      <x:c r="E33" s="16" t="str">
        <x:v>Frozen</x:v>
      </x:c>
    </x:row>
    <x:row r="34" ht="16.799999237060547" hidden="0" customHeight="1">
      <x:c r="A34" s="16" t="str">
        <x:v>E-03</x:v>
      </x:c>
      <x:c r="B34" s="16" t="n">
        <x:v>2</x:v>
      </x:c>
      <x:c r="C34" s="16" t="str">
        <x:v>Extract Priority</x:v>
      </x:c>
      <x:c r="D34" s="16" t="str">
        <x:v>When outdoor air is poor, supply can pause while extract continues.</x:v>
      </x:c>
      <x:c r="E34" s="16" t="str">
        <x:v>Frozen</x:v>
      </x:c>
    </x:row>
    <x:row r="35" ht="16.799999237060547" hidden="0" customHeight="1">
      <x:c r="A35" s="16" t="str">
        <x:v>E-03</x:v>
      </x:c>
      <x:c r="B35" s="16" t="n">
        <x:v>3</x:v>
      </x:c>
      <x:c r="C35" s="16" t="str">
        <x:v>Natural Cooling</x:v>
      </x:c>
      <x:c r="D35" s="16" t="str">
        <x:v>When the home is warm and online weather is cooler, outdoor air can reduce AC demand.</x:v>
      </x:c>
      <x:c r="E35" s="16" t="str">
        <x:v>Frozen</x:v>
      </x:c>
    </x:row>
    <x:row r="36" ht="16.799999237060547" hidden="0" customHeight="1">
      <x:c r="A36" s="16" t="str">
        <x:v>E-04</x:v>
      </x:c>
      <x:c r="B36" s="16" t="n">
        <x:v>1</x:v>
      </x:c>
      <x:c r="C36" s="16" t="str">
        <x:v>Automatic Seasonal Watering</x:v>
      </x:c>
      <x:c r="D36" s="16" t="str">
        <x:v>Connected irrigation zones run in sequence on a seasonal schedule.</x:v>
      </x:c>
      <x:c r="E36" s="16" t="str">
        <x:v>Frozen</x:v>
      </x:c>
    </x:row>
    <x:row r="37" ht="16.799999237060547" hidden="0" customHeight="1">
      <x:c r="A37" s="16" t="str">
        <x:v>E-04</x:v>
      </x:c>
      <x:c r="B37" s="16" t="n">
        <x:v>2</x:v>
      </x:c>
      <x:c r="C37" s="16" t="str">
        <x:v>Rain Delay</x:v>
      </x:c>
      <x:c r="D37" s="16" t="str">
        <x:v>Online weather can pause the next watering cycle.</x:v>
      </x:c>
      <x:c r="E37" s="16" t="str">
        <x:v>Frozen</x:v>
      </x:c>
    </x:row>
    <x:row r="38" ht="16.799999237060547" hidden="0" customHeight="1">
      <x:c r="A38" s="16" t="str">
        <x:v>E-04</x:v>
      </x:c>
      <x:c r="B38" s="16" t="n">
        <x:v>3</x:v>
      </x:c>
      <x:c r="C38" s="16" t="str">
        <x:v>Vacation Watering</x:v>
      </x:c>
      <x:c r="D38" s="16" t="str">
        <x:v>The garden schedule continues while the household is away.</x:v>
      </x:c>
      <x:c r="E38" s="16" t="str">
        <x:v>Frozen</x:v>
      </x:c>
    </x:row>
    <x:row r="39" ht="16.799999237060547" hidden="0" customHeight="1">
      <x:c r="A39" s="16" t="str">
        <x:v>E-05</x:v>
      </x:c>
      <x:c r="B39" s="16" t="n">
        <x:v>1</x:v>
      </x:c>
      <x:c r="C39" s="16" t="str">
        <x:v>Visible Deterrence</x:v>
      </x:c>
      <x:c r="D39" s="16" t="str">
        <x:v>A verified camera event starts camera white light and selected front-visible home lighting.</x:v>
      </x:c>
      <x:c r="E39" s="16" t="str">
        <x:v>Frozen</x:v>
      </x:c>
    </x:row>
    <x:row r="40" ht="16.799999237060547" hidden="0" customHeight="1">
      <x:c r="A40" s="16" t="str">
        <x:v>E-06</x:v>
      </x:c>
      <x:c r="B40" s="16" t="n">
        <x:v>1</x:v>
      </x:c>
      <x:c r="C40" s="16" t="str">
        <x:v>Local Recording</x:v>
      </x:c>
      <x:c r="D40" s="16" t="str">
        <x:v>Four professional PoE cameras record to the local 4TB NVR.</x:v>
      </x:c>
      <x:c r="E40" s="16" t="str">
        <x:v>Frozen</x:v>
      </x:c>
    </x:row>
    <x:row r="41" ht="16.799999237060547" hidden="0" customHeight="1">
      <x:c r="A41" s="16" t="str">
        <x:v>E-06</x:v>
      </x:c>
      <x:c r="B41" s="16" t="n">
        <x:v>2</x:v>
      </x:c>
      <x:c r="C41" s="16" t="str">
        <x:v>Smart Event Awareness</x:v>
      </x:c>
      <x:c r="D41" s="16" t="str">
        <x:v>Human and vehicle events help reduce irrelevant motion alerts.</x:v>
      </x:c>
      <x:c r="E41" s="16" t="str">
        <x:v>Frozen</x:v>
      </x:c>
    </x:row>
    <x:row r="42" ht="16.799999237060547" hidden="0" customHeight="1">
      <x:c r="A42" s="16" t="str">
        <x:v>E-06</x:v>
      </x:c>
      <x:c r="B42" s="16" t="n">
        <x:v>3</x:v>
      </x:c>
      <x:c r="C42" s="16" t="str">
        <x:v>White Light Response</x:v>
      </x:c>
      <x:c r="D42" s="16" t="str">
        <x:v>The triggering camera can illuminate the event at night.</x:v>
      </x:c>
      <x:c r="E42" s="16" t="str">
        <x:v>Frozen</x:v>
      </x:c>
    </x:row>
    <x:row r="43" ht="16.799999237060547" hidden="0" customHeight="1">
      <x:c r="A43" s="16" t="str">
        <x:v>E-06</x:v>
      </x:c>
      <x:c r="B43" s="16" t="n">
        <x:v>4</x:v>
      </x:c>
      <x:c r="C43" s="16" t="str">
        <x:v>Remote Viewing</x:v>
      </x:c>
      <x:c r="D43" s="16" t="str">
        <x:v>Customers can view live and recorded footage through the compatible app.</x:v>
      </x:c>
      <x:c r="E43" s="16" t="str">
        <x:v>Frozen</x:v>
      </x:c>
    </x:row>
    <x:row r="44" ht="16.799999237060547" hidden="0" customHeight="1">
      <x:c r="A44" s="16" t="str">
        <x:v>E-07</x:v>
      </x:c>
      <x:c r="B44" s="16" t="n">
        <x:v>1</x:v>
      </x:c>
      <x:c r="C44" s="16" t="str">
        <x:v>Personal Wash</x:v>
      </x:c>
      <x:c r="D44" s="16" t="str">
        <x:v>Multiple wash modes with adjustable water temperature, pressure and nozzle position.</x:v>
      </x:c>
      <x:c r="E44" s="16" t="str">
        <x:v>Frozen</x:v>
      </x:c>
    </x:row>
    <x:row r="45" ht="16.799999237060547" hidden="0" customHeight="1">
      <x:c r="A45" s="16" t="str">
        <x:v>E-07</x:v>
      </x:c>
      <x:c r="B45" s="16" t="n">
        <x:v>2</x:v>
      </x:c>
      <x:c r="C45" s="16" t="str">
        <x:v>Warm Comfort</x:v>
      </x:c>
      <x:c r="D45" s="16" t="str">
        <x:v>Heated seat and warm-air drying support daily comfort.</x:v>
      </x:c>
      <x:c r="E45" s="16" t="str">
        <x:v>Frozen</x:v>
      </x:c>
    </x:row>
    <x:row r="46" ht="16.799999237060547" hidden="0" customHeight="1">
      <x:c r="A46" s="16" t="str">
        <x:v>E-07</x:v>
      </x:c>
      <x:c r="B46" s="16" t="n">
        <x:v>3</x:v>
      </x:c>
      <x:c r="C46" s="16" t="str">
        <x:v>Cleaner Routine</x:v>
      </x:c>
      <x:c r="D46" s="16" t="str">
        <x:v>Self-cleaning nozzle and UV functions support everyday hygiene.</x:v>
      </x:c>
      <x:c r="E46" s="16" t="str">
        <x:v>Frozen</x:v>
      </x:c>
    </x:row>
    <x:row r="47" ht="16.799999237060547" hidden="0" customHeight="1">
      <x:c r="A47" s="16" t="str">
        <x:v>E-07</x:v>
      </x:c>
      <x:c r="B47" s="16" t="n">
        <x:v>4</x:v>
      </x:c>
      <x:c r="C47" s="16" t="str">
        <x:v>Independent Control</x:v>
      </x:c>
      <x:c r="D47" s="16" t="str">
        <x:v>Remote and side controls work without Foundation or a Bathroom Collection.</x:v>
      </x:c>
      <x:c r="E47" s="16" t="str">
        <x:v>Frozen</x:v>
      </x:c>
    </x:row>
  </x:sheetData>
  <x:pageMargins left="0.7" right="0.7" top="0.75" bottom="0.75" header="0.3" footer="0.3"/>
  <x:tableParts count="1">
    <x:tablePart xmlns:r="http://schemas.openxmlformats.org/officeDocument/2006/relationships" r:id="R589dce5f3c0843f0"/>
  </x:tableParts>
</x:worksheet>
</file>

<file path=xl/worksheets/sheet7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32" customWidth="1"/>
    <x:col min="3" max="3" width="14" customWidth="1"/>
    <x:col min="4" max="4" width="18" customWidth="1"/>
    <x:col min="5" max="5" width="54" customWidth="1"/>
  </x:cols>
  <x:sheetData>
    <x:row r="1" ht="16.799999237060547" hidden="0" customHeight="1">
      <x:c r="A1" s="17" t="str">
        <x:v>Product ID</x:v>
      </x:c>
      <x:c r="B1" s="17" t="str">
        <x:v>Capability</x:v>
      </x:c>
      <x:c r="C1" s="17" t="str">
        <x:v>Included Qty</x:v>
      </x:c>
      <x:c r="D1" s="17" t="str">
        <x:v>Customer Layer</x:v>
      </x:c>
      <x:c r="E1" s="17" t="str">
        <x:v>Notes</x:v>
      </x:c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10-inch Control Screen</x:v>
      </x:c>
      <x:c r="C2" s="16" t="n">
        <x:v>1</x:v>
      </x:c>
      <x:c r="D2" s="16" t="str">
        <x:v>Included</x:v>
      </x:c>
      <x:c r="E2" s="16" t="str">
        <x:v>13-inch replacement upgrade available</x:v>
      </x:c>
    </x:row>
    <x:row r="3" ht="16.799999237060547" hidden="0" customHeight="1">
      <x:c r="A3" s="16" t="str">
        <x:v>F-01</x:v>
      </x:c>
      <x:c r="B3" s="16" t="str">
        <x:v>Zigbee Gateway</x:v>
      </x:c>
      <x:c r="C3" s="16" t="n">
        <x:v>1</x:v>
      </x:c>
      <x:c r="D3" s="16" t="str">
        <x:v>Included</x:v>
      </x:c>
      <x:c r="E3" s="16" t="str">
        <x:v>Required system core</x:v>
      </x:c>
    </x:row>
    <x:row r="4" ht="16.799999237060547" hidden="0" customHeight="1">
      <x:c r="A4" s="16" t="str">
        <x:v>F-01</x:v>
      </x:c>
      <x:c r="B4" s="16" t="str">
        <x:v>16-Port PoE Switch</x:v>
      </x:c>
      <x:c r="C4" s="16" t="n">
        <x:v>1</x:v>
      </x:c>
      <x:c r="D4" s="16" t="str">
        <x:v>Included</x:v>
      </x:c>
      <x:c r="E4" s="16" t="str">
        <x:v>Network infrastructure</x:v>
      </x:c>
    </x:row>
    <x:row r="5" ht="16.799999237060547" hidden="0" customHeight="1">
      <x:c r="A5" s="16" t="str">
        <x:v>F-01</x:v>
      </x:c>
      <x:c r="B5" s="16" t="str">
        <x:v>RS485 / BUS Interface</x:v>
      </x:c>
      <x:c r="C5" s="16" t="n">
        <x:v>1</x:v>
      </x:c>
      <x:c r="D5" s="16" t="str">
        <x:v>Included</x:v>
      </x:c>
      <x:c r="E5" s="16" t="str">
        <x:v>TIS BUS integration</x:v>
      </x:c>
    </x:row>
    <x:row r="6" ht="16.799999237060547" hidden="0" customHeight="1">
      <x:c r="A6" s="16" t="str">
        <x:v>C-01</x:v>
      </x:c>
      <x:c r="B6" s="16" t="str">
        <x:v>6-Circuit Light Switch</x:v>
      </x:c>
      <x:c r="C6" s="16" t="n">
        <x:v>1</x:v>
      </x:c>
      <x:c r="D6" s="16" t="str">
        <x:v>Included</x:v>
      </x:c>
      <x:c r="E6" s="16" t="str">
        <x:v>Up to six existing compatible circuits</x:v>
      </x:c>
    </x:row>
    <x:row r="7" ht="16.799999237060547" hidden="0" customHeight="1">
      <x:c r="A7" s="16" t="str">
        <x:v>C-01</x:v>
      </x:c>
      <x:c r="B7" s="16" t="str">
        <x:v>Outdoor PIR</x:v>
      </x:c>
      <x:c r="C7" s="16" t="n">
        <x:v>1</x:v>
      </x:c>
      <x:c r="D7" s="16" t="str">
        <x:v>Included</x:v>
      </x:c>
      <x:c r="E7" s="16" t="str">
        <x:v>Outdoor welcome</x:v>
      </x:c>
    </x:row>
    <x:row r="8" ht="16.799999237060547" hidden="0" customHeight="1">
      <x:c r="A8" s="16" t="str">
        <x:v>C-01</x:v>
      </x:c>
      <x:c r="B8" s="16" t="str">
        <x:v>Indoor Occupancy Sensor</x:v>
      </x:c>
      <x:c r="C8" s="16" t="n">
        <x:v>1</x:v>
      </x:c>
      <x:c r="D8" s="16" t="str">
        <x:v>Included</x:v>
      </x:c>
      <x:c r="E8" s="16" t="str">
        <x:v>Presence, temperature and lux</x:v>
      </x:c>
    </x:row>
    <x:row r="9" ht="16.799999237060547" hidden="0" customHeight="1">
      <x:c r="A9" s="16" t="str">
        <x:v>C-01</x:v>
      </x:c>
      <x:c r="B9" s="16" t="str">
        <x:v>Smart Lock</x:v>
      </x:c>
      <x:c r="C9" s="16" t="n">
        <x:v>1</x:v>
      </x:c>
      <x:c r="D9" s="16" t="str">
        <x:v>Included</x:v>
      </x:c>
      <x:c r="E9" s="16" t="str">
        <x:v>Fingerprint / PIN / app</x:v>
      </x:c>
    </x:row>
    <x:row r="10" ht="16.799999237060547" hidden="0" customHeight="1">
      <x:c r="A10" s="16" t="str">
        <x:v>C-01</x:v>
      </x:c>
      <x:c r="B10" s="16" t="str">
        <x:v>Wireless Video Doorbell</x:v>
      </x:c>
      <x:c r="C10" s="16" t="n">
        <x:v>1</x:v>
      </x:c>
      <x:c r="D10" s="16" t="str">
        <x:v>Included</x:v>
      </x:c>
      <x:c r="E10" s="16" t="str">
        <x:v>Battery doorbell; subscription excluded</x:v>
      </x:c>
    </x:row>
    <x:row r="11" ht="16.799999237060547" hidden="0" customHeight="1">
      <x:c r="A11" s="16" t="str">
        <x:v>C-01</x:v>
      </x:c>
      <x:c r="B11" s="16" t="str">
        <x:v>Garage Door Relay</x:v>
      </x:c>
      <x:c r="C11" s="16" t="n">
        <x:v>1</x:v>
      </x:c>
      <x:c r="D11" s="16" t="str">
        <x:v>Included</x:v>
      </x:c>
      <x:c r="E11" s="16" t="str">
        <x:v>Manual screen/app control only</x:v>
      </x:c>
    </x:row>
    <x:row r="12" ht="16.799999237060547" hidden="0" customHeight="1">
      <x:c r="A12" s="16" t="str">
        <x:v>C-02</x:v>
      </x:c>
      <x:c r="B12" s="16" t="str">
        <x:v>6-Circuit Light Switch</x:v>
      </x:c>
      <x:c r="C12" s="16" t="n">
        <x:v>1</x:v>
      </x:c>
      <x:c r="D12" s="16" t="str">
        <x:v>Included</x:v>
      </x:c>
      <x:c r="E12" s="16" t="str">
        <x:v>Up to six existing compatible circuits</x:v>
      </x:c>
    </x:row>
    <x:row r="13" ht="16.799999237060547" hidden="0" customHeight="1">
      <x:c r="A13" s="16" t="str">
        <x:v>C-02</x:v>
      </x:c>
      <x:c r="B13" s="16" t="str">
        <x:v>Dimmable Lighting Circuit</x:v>
      </x:c>
      <x:c r="C13" s="16" t="n">
        <x:v>1</x:v>
      </x:c>
      <x:c r="D13" s="16" t="str">
        <x:v>Included</x:v>
      </x:c>
      <x:c r="E13" s="16" t="str">
        <x:v>One compatible dimmable circuit</x:v>
      </x:c>
    </x:row>
    <x:row r="14" ht="16.799999237060547" hidden="0" customHeight="1">
      <x:c r="A14" s="16" t="str">
        <x:v>C-02</x:v>
      </x:c>
      <x:c r="B14" s="16" t="str">
        <x:v>Multifunction Sensor</x:v>
      </x:c>
      <x:c r="C14" s="16" t="n">
        <x:v>1</x:v>
      </x:c>
      <x:c r="D14" s="16" t="str">
        <x:v>Included</x:v>
      </x:c>
      <x:c r="E14" s="16" t="str">
        <x:v>Presence, temperature, lux and IR</x:v>
      </x:c>
    </x:row>
    <x:row r="15" ht="16.799999237060547" hidden="0" customHeight="1">
      <x:c r="A15" s="16" t="str">
        <x:v>C-02</x:v>
      </x:c>
      <x:c r="B15" s="16" t="str">
        <x:v>Automated Curtain</x:v>
      </x:c>
      <x:c r="C15" s="16" t="n">
        <x:v>1</x:v>
      </x:c>
      <x:c r="D15" s="16" t="str">
        <x:v>Included</x:v>
      </x:c>
      <x:c r="E15" s="16" t="str">
        <x:v>One motor and straight track &lt;=3m</x:v>
      </x:c>
    </x:row>
    <x:row r="16" ht="16.799999237060547" hidden="0" customHeight="1">
      <x:c r="A16" s="16" t="str">
        <x:v>C-02</x:v>
      </x:c>
      <x:c r="B16" s="16" t="str">
        <x:v>Warm Ambient Zone</x:v>
      </x:c>
      <x:c r="C16" s="16" t="n">
        <x:v>1</x:v>
      </x:c>
      <x:c r="D16" s="16" t="str">
        <x:v>Included</x:v>
      </x:c>
      <x:c r="E16" s="16" t="str">
        <x:v>Up to 3m dimmable warm silicone strip</x:v>
      </x:c>
    </x:row>
    <x:row r="17" ht="16.799999237060547" hidden="0" customHeight="1">
      <x:c r="A17" s="16" t="str">
        <x:v>C-02</x:v>
      </x:c>
      <x:c r="B17" s="16" t="str">
        <x:v>Smart Speaker</x:v>
      </x:c>
      <x:c r="C17" s="16" t="n">
        <x:v>1</x:v>
      </x:c>
      <x:c r="D17" s="16" t="str">
        <x:v>Included</x:v>
      </x:c>
      <x:c r="E17" s="16" t="str">
        <x:v>Platform-specific content not guaranteed</x:v>
      </x:c>
    </x:row>
    <x:row r="18" ht="16.799999237060547" hidden="0" customHeight="1">
      <x:c r="A18" s="16" t="str">
        <x:v>C-02</x:v>
      </x:c>
      <x:c r="B18" s="16" t="str">
        <x:v>Compatible Split AC Control</x:v>
      </x:c>
      <x:c r="C18" s="16" t="n">
        <x:v>1</x:v>
      </x:c>
      <x:c r="D18" s="16" t="str">
        <x:v>Included</x:v>
      </x:c>
      <x:c r="E18" s="16" t="str">
        <x:v>IR remote-controlled split system only</x:v>
      </x:c>
    </x:row>
    <x:row r="19" ht="16.799999237060547" hidden="0" customHeight="1">
      <x:c r="A19" s="16" t="str">
        <x:v>C-03</x:v>
      </x:c>
      <x:c r="B19" s="16" t="str">
        <x:v>6-Circuit Light Switch</x:v>
      </x:c>
      <x:c r="C19" s="16" t="n">
        <x:v>1</x:v>
      </x:c>
      <x:c r="D19" s="16" t="str">
        <x:v>Included</x:v>
      </x:c>
      <x:c r="E19" s="16" t="str">
        <x:v>Up to six existing compatible circuits</x:v>
      </x:c>
    </x:row>
    <x:row r="20" ht="16.799999237060547" hidden="0" customHeight="1">
      <x:c r="A20" s="16" t="str">
        <x:v>C-03</x:v>
      </x:c>
      <x:c r="B20" s="16" t="str">
        <x:v>Dimmable Lighting Circuit</x:v>
      </x:c>
      <x:c r="C20" s="16" t="n">
        <x:v>1</x:v>
      </x:c>
      <x:c r="D20" s="16" t="str">
        <x:v>Included</x:v>
      </x:c>
      <x:c r="E20" s="16" t="str">
        <x:v>One compatible dimmable circuit</x:v>
      </x:c>
    </x:row>
    <x:row r="21" ht="16.799999237060547" hidden="0" customHeight="1">
      <x:c r="A21" s="16" t="str">
        <x:v>C-03</x:v>
      </x:c>
      <x:c r="B21" s="16" t="str">
        <x:v>Indoor Occupancy Sensor</x:v>
      </x:c>
      <x:c r="C21" s="16" t="n">
        <x:v>1</x:v>
      </x:c>
      <x:c r="D21" s="16" t="str">
        <x:v>Included</x:v>
      </x:c>
      <x:c r="E21" s="16" t="str">
        <x:v>Presence, temperature and lux</x:v>
      </x:c>
    </x:row>
    <x:row r="22" ht="16.799999237060547" hidden="0" customHeight="1">
      <x:c r="A22" s="16" t="str">
        <x:v>C-03</x:v>
      </x:c>
      <x:c r="B22" s="16" t="str">
        <x:v>Warm Kickboard Zone</x:v>
      </x:c>
      <x:c r="C22" s="16" t="n">
        <x:v>1</x:v>
      </x:c>
      <x:c r="D22" s="16" t="str">
        <x:v>Included</x:v>
      </x:c>
      <x:c r="E22" s="16" t="str">
        <x:v>Up to 3m dimmable warm silicone strip</x:v>
      </x:c>
    </x:row>
    <x:row r="23" ht="16.799999237060547" hidden="0" customHeight="1">
      <x:c r="A23" s="16" t="str">
        <x:v>C-03</x:v>
      </x:c>
      <x:c r="B23" s="16" t="str">
        <x:v>Smart Display</x:v>
      </x:c>
      <x:c r="C23" s="16" t="n">
        <x:v>1</x:v>
      </x:c>
      <x:c r="D23" s="16" t="str">
        <x:v>Included</x:v>
      </x:c>
      <x:c r="E23" s="16" t="str">
        <x:v>Platform-specific content not guaranteed</x:v>
      </x:c>
    </x:row>
    <x:row r="24" ht="16.799999237060547" hidden="0" customHeight="1">
      <x:c r="A24" s="16" t="str">
        <x:v>C-03</x:v>
      </x:c>
      <x:c r="B24" s="16" t="str">
        <x:v>Smart Appliance Outlet</x:v>
      </x:c>
      <x:c r="C24" s="16" t="n">
        <x:v>1</x:v>
      </x:c>
      <x:c r="D24" s="16" t="str">
        <x:v>Included</x:v>
      </x:c>
      <x:c r="E24" s="16" t="str">
        <x:v>Compatible safe appliance only</x:v>
      </x:c>
    </x:row>
    <x:row r="25" ht="16.799999237060547" hidden="0" customHeight="1">
      <x:c r="A25" s="16" t="str">
        <x:v>C-04</x:v>
      </x:c>
      <x:c r="B25" s="16" t="str">
        <x:v>6-Circuit Light Switch</x:v>
      </x:c>
      <x:c r="C25" s="16" t="n">
        <x:v>1</x:v>
      </x:c>
      <x:c r="D25" s="16" t="str">
        <x:v>Included</x:v>
      </x:c>
      <x:c r="E25" s="16" t="str">
        <x:v>Up to six existing compatible circuits</x:v>
      </x:c>
    </x:row>
    <x:row r="26" ht="16.799999237060547" hidden="0" customHeight="1">
      <x:c r="A26" s="16" t="str">
        <x:v>C-04</x:v>
      </x:c>
      <x:c r="B26" s="16" t="str">
        <x:v>Dimmable Lighting Circuit</x:v>
      </x:c>
      <x:c r="C26" s="16" t="n">
        <x:v>1</x:v>
      </x:c>
      <x:c r="D26" s="16" t="str">
        <x:v>Included</x:v>
      </x:c>
      <x:c r="E26" s="16" t="str">
        <x:v>One compatible dimmable circuit</x:v>
      </x:c>
    </x:row>
    <x:row r="27" ht="16.799999237060547" hidden="0" customHeight="1">
      <x:c r="A27" s="16" t="str">
        <x:v>C-04</x:v>
      </x:c>
      <x:c r="B27" s="16" t="str">
        <x:v>Multifunction Sensor</x:v>
      </x:c>
      <x:c r="C27" s="16" t="n">
        <x:v>1</x:v>
      </x:c>
      <x:c r="D27" s="16" t="str">
        <x:v>Included</x:v>
      </x:c>
      <x:c r="E27" s="16" t="str">
        <x:v>Presence, temperature, lux and IR</x:v>
      </x:c>
    </x:row>
    <x:row r="28" ht="16.799999237060547" hidden="0" customHeight="1">
      <x:c r="A28" s="16" t="str">
        <x:v>C-04</x:v>
      </x:c>
      <x:c r="B28" s="16" t="str">
        <x:v>Automated Curtain</x:v>
      </x:c>
      <x:c r="C28" s="16" t="n">
        <x:v>1</x:v>
      </x:c>
      <x:c r="D28" s="16" t="str">
        <x:v>Included</x:v>
      </x:c>
      <x:c r="E28" s="16" t="str">
        <x:v>One motor and straight track &lt;=3m</x:v>
      </x:c>
    </x:row>
    <x:row r="29" ht="16.799999237060547" hidden="0" customHeight="1">
      <x:c r="A29" s="16" t="str">
        <x:v>C-04</x:v>
      </x:c>
      <x:c r="B29" s="16" t="str">
        <x:v>Warm Night Zone</x:v>
      </x:c>
      <x:c r="C29" s="16" t="n">
        <x:v>1</x:v>
      </x:c>
      <x:c r="D29" s="16" t="str">
        <x:v>Included</x:v>
      </x:c>
      <x:c r="E29" s="16" t="str">
        <x:v>Up to 3m dimmable warm silicone strip</x:v>
      </x:c>
    </x:row>
    <x:row r="30" ht="16.799999237060547" hidden="0" customHeight="1">
      <x:c r="A30" s="16" t="str">
        <x:v>C-04</x:v>
      </x:c>
      <x:c r="B30" s="16" t="str">
        <x:v>Smart Speaker</x:v>
      </x:c>
      <x:c r="C30" s="16" t="n">
        <x:v>1</x:v>
      </x:c>
      <x:c r="D30" s="16" t="str">
        <x:v>Included</x:v>
      </x:c>
      <x:c r="E30" s="16" t="str">
        <x:v>Voice and compatible sleep sounds</x:v>
      </x:c>
    </x:row>
    <x:row r="31" ht="16.799999237060547" hidden="0" customHeight="1">
      <x:c r="A31" s="16" t="str">
        <x:v>C-04</x:v>
      </x:c>
      <x:c r="B31" s="16" t="str">
        <x:v>Bedside Scene Remote</x:v>
      </x:c>
      <x:c r="C31" s="16" t="n">
        <x:v>2</x:v>
      </x:c>
      <x:c r="D31" s="16" t="str">
        <x:v>Included</x:v>
      </x:c>
      <x:c r="E31" s="16" t="str">
        <x:v>Identical mapping on both sides</x:v>
      </x:c>
    </x:row>
    <x:row r="32" ht="16.799999237060547" hidden="0" customHeight="1">
      <x:c r="A32" s="16" t="str">
        <x:v>C-05</x:v>
      </x:c>
      <x:c r="B32" s="16" t="str">
        <x:v>6-Circuit Light Switch</x:v>
      </x:c>
      <x:c r="C32" s="16" t="n">
        <x:v>1</x:v>
      </x:c>
      <x:c r="D32" s="16" t="str">
        <x:v>Included</x:v>
      </x:c>
      <x:c r="E32" s="16" t="str">
        <x:v>Compatible lighting / fan / heating circuits</x:v>
      </x:c>
    </x:row>
    <x:row r="33" ht="16.799999237060547" hidden="0" customHeight="1">
      <x:c r="A33" s="16" t="str">
        <x:v>C-05</x:v>
      </x:c>
      <x:c r="B33" s="16" t="str">
        <x:v>Dimmable Lighting Circuit</x:v>
      </x:c>
      <x:c r="C33" s="16" t="n">
        <x:v>1</x:v>
      </x:c>
      <x:c r="D33" s="16" t="str">
        <x:v>Included</x:v>
      </x:c>
      <x:c r="E33" s="16" t="str">
        <x:v>One compatible dimmable circuit</x:v>
      </x:c>
    </x:row>
    <x:row r="34" ht="16.799999237060547" hidden="0" customHeight="1">
      <x:c r="A34" s="16" t="str">
        <x:v>C-05</x:v>
      </x:c>
      <x:c r="B34" s="16" t="str">
        <x:v>Indoor Occupancy Sensor</x:v>
      </x:c>
      <x:c r="C34" s="16" t="n">
        <x:v>1</x:v>
      </x:c>
      <x:c r="D34" s="16" t="str">
        <x:v>Included</x:v>
      </x:c>
      <x:c r="E34" s="16" t="str">
        <x:v>Presence, temperature and lux</x:v>
      </x:c>
    </x:row>
    <x:row r="35" ht="16.799999237060547" hidden="0" customHeight="1">
      <x:c r="A35" s="16" t="str">
        <x:v>C-05</x:v>
      </x:c>
      <x:c r="B35" s="16" t="str">
        <x:v>Warm Night Zone</x:v>
      </x:c>
      <x:c r="C35" s="16" t="n">
        <x:v>1</x:v>
      </x:c>
      <x:c r="D35" s="16" t="str">
        <x:v>Included</x:v>
      </x:c>
      <x:c r="E35" s="16" t="str">
        <x:v>Up to 3m dimmable warm silicone strip</x:v>
      </x:c>
    </x:row>
    <x:row r="36" ht="16.799999237060547" hidden="0" customHeight="1">
      <x:c r="A36" s="16" t="str">
        <x:v>C-05</x:v>
      </x:c>
      <x:c r="B36" s="16" t="str">
        <x:v>Existing Exhaust Fan Control</x:v>
      </x:c>
      <x:c r="C36" s="16" t="n">
        <x:v>1</x:v>
      </x:c>
      <x:c r="D36" s="16" t="str">
        <x:v>Included</x:v>
      </x:c>
      <x:c r="E36" s="16" t="str">
        <x:v>Fan body excluded</x:v>
      </x:c>
    </x:row>
    <x:row r="37" ht="16.799999237060547" hidden="0" customHeight="1">
      <x:c r="A37" s="16" t="str">
        <x:v>C-06</x:v>
      </x:c>
      <x:c r="B37" s="16" t="str">
        <x:v>Wireless Door / Window Contact</x:v>
      </x:c>
      <x:c r="C37" s="16" t="n">
        <x:v>4</x:v>
      </x:c>
      <x:c r="D37" s="16" t="str">
        <x:v>Included</x:v>
      </x:c>
      <x:c r="E37" s="16" t="str">
        <x:v>Customer selects locations</x:v>
      </x:c>
    </x:row>
    <x:row r="38" ht="16.799999237060547" hidden="0" customHeight="1">
      <x:c r="A38" s="16" t="str">
        <x:v>E-01</x:v>
      </x:c>
      <x:c r="B38" s="16" t="str">
        <x:v>Independent RGBW Colour Zone</x:v>
      </x:c>
      <x:c r="C38" s="16" t="n">
        <x:v>2</x:v>
      </x:c>
      <x:c r="D38" s="16" t="str">
        <x:v>Included</x:v>
      </x:c>
      <x:c r="E38" s="16" t="str">
        <x:v>Maximum 5m per zone</x:v>
      </x:c>
    </x:row>
    <x:row r="39" ht="16.799999237060547" hidden="0" customHeight="1">
      <x:c r="A39" s="16" t="str">
        <x:v>E-01</x:v>
      </x:c>
      <x:c r="B39" s="16" t="str">
        <x:v>RGBW Silicone Strip</x:v>
      </x:c>
      <x:c r="C39" s="16" t="n">
        <x:v>10</x:v>
      </x:c>
      <x:c r="D39" s="16" t="str">
        <x:v>Included metres</x:v>
      </x:c>
      <x:c r="E39" s="16" t="str">
        <x:v>10x10mm, 12W/m</x:v>
      </x:c>
    </x:row>
    <x:row r="40" ht="16.799999237060547" hidden="0" customHeight="1">
      <x:c r="A40" s="16" t="str">
        <x:v>E-01</x:v>
      </x:c>
      <x:c r="B40" s="16" t="str">
        <x:v>Smart Colour Bulb</x:v>
      </x:c>
      <x:c r="C40" s="16" t="n">
        <x:v>2</x:v>
      </x:c>
      <x:c r="D40" s="16" t="str">
        <x:v>Included</x:v>
      </x:c>
      <x:c r="E40" s="16" t="str">
        <x:v>Additional bulbs available</x:v>
      </x:c>
    </x:row>
    <x:row r="41" ht="16.799999237060547" hidden="0" customHeight="1">
      <x:c r="A41" s="16" t="str">
        <x:v>E-02</x:v>
      </x:c>
      <x:c r="B41" s="16" t="str">
        <x:v>Existing HVAC System</x:v>
      </x:c>
      <x:c r="C41" s="16" t="n">
        <x:v>1</x:v>
      </x:c>
      <x:c r="D41" s="16" t="str">
        <x:v>Controlled</x:v>
      </x:c>
      <x:c r="E41" s="16" t="str">
        <x:v>Compatible operational system only</x:v>
      </x:c>
    </x:row>
    <x:row r="42" ht="16.799999237060547" hidden="0" customHeight="1">
      <x:c r="A42" s="16" t="str">
        <x:v>E-02</x:v>
      </x:c>
      <x:c r="B42" s="16" t="str">
        <x:v>Existing HVAC Zones</x:v>
      </x:c>
      <x:c r="C42" s="16" t="n">
        <x:v>6</x:v>
      </x:c>
      <x:c r="D42" s="16" t="str">
        <x:v>Included</x:v>
      </x:c>
      <x:c r="E42" s="16" t="str">
        <x:v>Zones 7-12 require expansion</x:v>
      </x:c>
    </x:row>
    <x:row r="43" ht="16.799999237060547" hidden="0" customHeight="1">
      <x:c r="A43" s="16" t="str">
        <x:v>E-03</x:v>
      </x:c>
      <x:c r="B43" s="16" t="str">
        <x:v>Health Sensor</x:v>
      </x:c>
      <x:c r="C43" s="16" t="n">
        <x:v>1</x:v>
      </x:c>
      <x:c r="D43" s="16" t="str">
        <x:v>Included</x:v>
      </x:c>
      <x:c r="E43" s="16" t="str">
        <x:v>No PM2.5; not a statutory CO alarm</x:v>
      </x:c>
    </x:row>
    <x:row r="44" ht="16.799999237060547" hidden="0" customHeight="1">
      <x:c r="A44" s="16" t="str">
        <x:v>E-03</x:v>
      </x:c>
      <x:c r="B44" s="16" t="str">
        <x:v>Supply Fan</x:v>
      </x:c>
      <x:c r="C44" s="16" t="n">
        <x:v>1</x:v>
      </x:c>
      <x:c r="D44" s="16" t="str">
        <x:v>Included</x:v>
      </x:c>
      <x:c r="E44" s="16" t="str">
        <x:v>On/off; fixed selected speed</x:v>
      </x:c>
    </x:row>
    <x:row r="45" ht="16.799999237060547" hidden="0" customHeight="1">
      <x:c r="A45" s="16" t="str">
        <x:v>E-03</x:v>
      </x:c>
      <x:c r="B45" s="16" t="str">
        <x:v>Extract Fan</x:v>
      </x:c>
      <x:c r="C45" s="16" t="n">
        <x:v>1</x:v>
      </x:c>
      <x:c r="D45" s="16" t="str">
        <x:v>Included</x:v>
      </x:c>
      <x:c r="E45" s="16" t="str">
        <x:v>On/off; fixed selected speed</x:v>
      </x:c>
    </x:row>
    <x:row r="46" ht="16.799999237060547" hidden="0" customHeight="1">
      <x:c r="A46" s="16" t="str">
        <x:v>E-03</x:v>
      </x:c>
      <x:c r="B46" s="16" t="str">
        <x:v>Flexible Duct</x:v>
      </x:c>
      <x:c r="C46" s="16" t="n">
        <x:v>2</x:v>
      </x:c>
      <x:c r="D46" s="16" t="str">
        <x:v>Included</x:v>
      </x:c>
      <x:c r="E46" s="16" t="str">
        <x:v>Two 6m lengths; no bends</x:v>
      </x:c>
    </x:row>
    <x:row r="47" ht="16.799999237060547" hidden="0" customHeight="1">
      <x:c r="A47" s="16" t="str">
        <x:v>E-03</x:v>
      </x:c>
      <x:c r="B47" s="16" t="str">
        <x:v>Vent Grille</x:v>
      </x:c>
      <x:c r="C47" s="16" t="n">
        <x:v>4</x:v>
      </x:c>
      <x:c r="D47" s="16" t="str">
        <x:v>Included</x:v>
      </x:c>
      <x:c r="E47" s="16" t="str">
        <x:v>Outdoor intake/extract separation minimum 3m</x:v>
      </x:c>
    </x:row>
    <x:row r="48" ht="16.799999237060547" hidden="0" customHeight="1">
      <x:c r="A48" s="16" t="str">
        <x:v>E-04</x:v>
      </x:c>
      <x:c r="B48" s="16" t="str">
        <x:v>Front Garden Relay Box</x:v>
      </x:c>
      <x:c r="C48" s="16" t="n">
        <x:v>1</x:v>
      </x:c>
      <x:c r="D48" s="16" t="str">
        <x:v>Included</x:v>
      </x:c>
      <x:c r="E48" s="16" t="str">
        <x:v>Four outputs; two configured by default</x:v>
      </x:c>
    </x:row>
    <x:row r="49" ht="16.799999237060547" hidden="0" customHeight="1">
      <x:c r="A49" s="16" t="str">
        <x:v>E-04</x:v>
      </x:c>
      <x:c r="B49" s="16" t="str">
        <x:v>Rear Garden Relay Box</x:v>
      </x:c>
      <x:c r="C49" s="16" t="n">
        <x:v>1</x:v>
      </x:c>
      <x:c r="D49" s="16" t="str">
        <x:v>Included</x:v>
      </x:c>
      <x:c r="E49" s="16" t="str">
        <x:v>Four outputs; two configured by default</x:v>
      </x:c>
    </x:row>
    <x:row r="50" ht="16.799999237060547" hidden="0" customHeight="1">
      <x:c r="A50" s="16" t="str">
        <x:v>E-04</x:v>
      </x:c>
      <x:c r="B50" s="16" t="str">
        <x:v>Configured Irrigation Zones</x:v>
      </x:c>
      <x:c r="C50" s="16" t="n">
        <x:v>4</x:v>
      </x:c>
      <x:c r="D50" s="16" t="str">
        <x:v>Included</x:v>
      </x:c>
      <x:c r="E50" s="16" t="str">
        <x:v>Zones 5-8 are $99 configuration each</x:v>
      </x:c>
    </x:row>
    <x:row r="51" ht="16.799999237060547" hidden="0" customHeight="1">
      <x:c r="A51" s="16" t="str">
        <x:v>E-06</x:v>
      </x:c>
      <x:c r="B51" s="16" t="str">
        <x:v>8MP Smart Hybrid Light Camera</x:v>
      </x:c>
      <x:c r="C51" s="16" t="n">
        <x:v>4</x:v>
      </x:c>
      <x:c r="D51" s="16" t="str">
        <x:v>Included</x:v>
      </x:c>
      <x:c r="E51" s="16" t="str">
        <x:v>Standard accessible positions</x:v>
      </x:c>
    </x:row>
    <x:row r="52" ht="16.799999237060547" hidden="0" customHeight="1">
      <x:c r="A52" s="16" t="str">
        <x:v>E-06</x:v>
      </x:c>
      <x:c r="B52" s="16" t="str">
        <x:v>8-Channel PoE NVR</x:v>
      </x:c>
      <x:c r="C52" s="16" t="n">
        <x:v>1</x:v>
      </x:c>
      <x:c r="D52" s="16" t="str">
        <x:v>Included</x:v>
      </x:c>
      <x:c r="E52" s="16" t="str">
        <x:v>Four spare camera channels</x:v>
      </x:c>
    </x:row>
    <x:row r="53" ht="16.799999237060547" hidden="0" customHeight="1">
      <x:c r="A53" s="16" t="str">
        <x:v>E-06</x:v>
      </x:c>
      <x:c r="B53" s="16" t="str">
        <x:v>Local Surveillance Storage</x:v>
      </x:c>
      <x:c r="C53" s="16" t="n">
        <x:v>4</x:v>
      </x:c>
      <x:c r="D53" s="16" t="str">
        <x:v>Included TB</x:v>
      </x:c>
      <x:c r="E53" s="16" t="str">
        <x:v>WD Purple</x:v>
      </x:c>
    </x:row>
    <x:row r="54" ht="16.799999237060547" hidden="0" customHeight="1">
      <x:c r="A54" s="16" t="str">
        <x:v>E-06</x:v>
      </x:c>
      <x:c r="B54" s="16" t="str">
        <x:v>Digital Event Interface</x:v>
      </x:c>
      <x:c r="C54" s="16" t="n">
        <x:v>1</x:v>
      </x:c>
      <x:c r="D54" s="16" t="str">
        <x:v>Included</x:v>
      </x:c>
      <x:c r="E54" s="16" t="str">
        <x:v>NVR alarm output to TIS BUS</x:v>
      </x:c>
    </x:row>
    <x:row r="55" ht="16.799999237060547" hidden="0" customHeight="1">
      <x:c r="A55" s="16" t="str">
        <x:v>E-07</x:v>
      </x:c>
      <x:c r="B55" s="16" t="str">
        <x:v>TIS-WC-FS80 Smart Toilet</x:v>
      </x:c>
      <x:c r="C55" s="16" t="n">
        <x:v>1</x:v>
      </x:c>
      <x:c r="D55" s="16" t="str">
        <x:v>Supply only</x:v>
      </x:c>
      <x:c r="E55" s="16" t="str">
        <x:v>Plumbing, delivery and electrical work excluded</x:v>
      </x:c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</x:sheetData>
  <x:pageMargins left="0.7" right="0.7" top="0.75" bottom="0.75" header="0.3" footer="0.3"/>
  <x:tableParts count="1">
    <x:tablePart xmlns:r="http://schemas.openxmlformats.org/officeDocument/2006/relationships" r:id="R2ce164567339444c"/>
  </x:tableParts>
</x:worksheet>
</file>

<file path=xl/worksheets/sheet8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4" customWidth="1"/>
    <x:col min="3" max="3" width="10" customWidth="1"/>
    <x:col min="4" max="4" width="18" customWidth="1"/>
    <x:col min="5" max="5" width="16" customWidth="1"/>
    <x:col min="6" max="6" width="18" customWidth="1"/>
    <x:col min="7" max="7" width="46" customWidth="1"/>
  </x:cols>
  <x:sheetData>
    <x:row r="1" ht="16.799999237060547" hidden="0" customHeight="1">
      <x:c r="A1" s="17" t="str">
        <x:v>Product ID</x:v>
      </x:c>
      <x:c r="B1" s="17" t="str">
        <x:v>SKU</x:v>
      </x:c>
      <x:c r="C1" s="17" t="str">
        <x:v>Qty</x:v>
      </x:c>
      <x:c r="D1" s="17" t="str">
        <x:v>Unit Cost ex GST</x:v>
      </x:c>
      <x:c r="E1" s="17" t="str">
        <x:v>Line Cost</x:v>
      </x:c>
      <x:c r="F1" s="17" t="str">
        <x:v>Included / Add-on</x:v>
      </x:c>
      <x:c r="G1" s="17" t="str">
        <x:v>Notes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485-MODULE</x:v>
      </x:c>
      <x:c r="C2" s="16" t="n">
        <x:v>1</x:v>
      </x:c>
      <x:c r="D2" s="20" t="n">
        <x:f>IFERROR(VLOOKUP(B2,'03_SKU_Master'!$A$2:$G$200,4,FALSE),0)</x:f>
        <x:v>300</x:v>
      </x:c>
      <x:c r="E2" s="20" t="n">
        <x:f t="shared" ref="E2:E65" si="0">C2*D2</x:f>
        <x:v>300</x:v>
      </x:c>
      <x:c r="F2" s="16" t="str">
        <x:v>Included</x:v>
      </x:c>
      <x:c r="G2" s="16" t="str">
        <x:v>BUS interface</x:v>
      </x:c>
    </x:row>
    <x:row r="3" ht="16.799999237060547" hidden="0" customHeight="1">
      <x:c r="A3" s="16" t="str">
        <x:v>F-01</x:v>
      </x:c>
      <x:c r="B3" s="16" t="str">
        <x:v>POE-SWITCH</x:v>
      </x:c>
      <x:c r="C3" s="16" t="n">
        <x:v>1</x:v>
      </x:c>
      <x:c r="D3" s="20" t="n">
        <x:f>IFERROR(VLOOKUP(B3,'03_SKU_Master'!$A$2:$G$200,4,FALSE),0)</x:f>
        <x:v>158</x:v>
      </x:c>
      <x:c r="E3" s="20" t="n">
        <x:f t="shared" si="0">C3*D3</x:f>
        <x:v>158</x:v>
      </x:c>
      <x:c r="F3" s="16" t="str">
        <x:v>Included</x:v>
      </x:c>
      <x:c r="G3" s="16" t="str">
        <x:v>Network</x:v>
      </x:c>
    </x:row>
    <x:row r="4" ht="16.799999237060547" hidden="0" customHeight="1">
      <x:c r="A4" s="16" t="str">
        <x:v>F-01</x:v>
      </x:c>
      <x:c r="B4" s="16" t="str">
        <x:v>ZB-GATEWAY</x:v>
      </x:c>
      <x:c r="C4" s="16" t="n">
        <x:v>1</x:v>
      </x:c>
      <x:c r="D4" s="20" t="n">
        <x:f>IFERROR(VLOOKUP(B4,'03_SKU_Master'!$A$2:$G$200,4,FALSE),0)</x:f>
        <x:v>297</x:v>
      </x:c>
      <x:c r="E4" s="20" t="n">
        <x:f t="shared" si="0">C4*D4</x:f>
        <x:v>297</x:v>
      </x:c>
      <x:c r="F4" s="16" t="str">
        <x:v>Included</x:v>
      </x:c>
      <x:c r="G4" s="16" t="str">
        <x:v>Zigbee</x:v>
      </x:c>
    </x:row>
    <x:row r="5" ht="16.799999237060547" hidden="0" customHeight="1">
      <x:c r="A5" s="16" t="str">
        <x:v>F-01</x:v>
      </x:c>
      <x:c r="B5" s="16" t="str">
        <x:v>CAT6-CABLE</x:v>
      </x:c>
      <x:c r="C5" s="16" t="n">
        <x:v>1</x:v>
      </x:c>
      <x:c r="D5" s="20" t="n">
        <x:f>IFERROR(VLOOKUP(B5,'03_SKU_Master'!$A$2:$G$200,4,FALSE),0)</x:f>
        <x:v>170</x:v>
      </x:c>
      <x:c r="E5" s="20" t="n">
        <x:f t="shared" si="0">C5*D5</x:f>
        <x:v>170</x:v>
      </x:c>
      <x:c r="F5" s="16" t="str">
        <x:v>Included</x:v>
      </x:c>
      <x:c r="G5" s="16" t="str">
        <x:v>Allowance</x:v>
      </x:c>
    </x:row>
    <x:row r="6" ht="16.799999237060547" hidden="0" customHeight="1">
      <x:c r="A6" s="16" t="str">
        <x:v>F-01</x:v>
      </x:c>
      <x:c r="B6" s="16" t="str">
        <x:v>SCREEN-10</x:v>
      </x:c>
      <x:c r="C6" s="16" t="n">
        <x:v>1</x:v>
      </x:c>
      <x:c r="D6" s="20" t="n">
        <x:f>IFERROR(VLOOKUP(B6,'03_SKU_Master'!$A$2:$G$200,4,FALSE),0)</x:f>
        <x:v>790</x:v>
      </x:c>
      <x:c r="E6" s="20" t="n">
        <x:f t="shared" si="0">C6*D6</x:f>
        <x:v>790</x:v>
      </x:c>
      <x:c r="F6" s="16" t="str">
        <x:v>Included</x:v>
      </x:c>
      <x:c r="G6" s="16" t="str">
        <x:v>Standard screen</x:v>
      </x:c>
    </x:row>
    <x:row r="7" ht="16.799999237060547" hidden="0" customHeight="1">
      <x:c r="A7" s="16" t="str">
        <x:v>F-01</x:v>
      </x:c>
      <x:c r="B7" s="16" t="str">
        <x:v>FOUND-INFRA</x:v>
      </x:c>
      <x:c r="C7" s="16" t="n">
        <x:v>1</x:v>
      </x:c>
      <x:c r="D7" s="20" t="n">
        <x:f>IFERROR(VLOOKUP(B7,'03_SKU_Master'!$A$2:$G$200,4,FALSE),0)</x:f>
        <x:v>300</x:v>
      </x:c>
      <x:c r="E7" s="20" t="n">
        <x:f t="shared" si="0">C7*D7</x:f>
        <x:v>300</x:v>
      </x:c>
      <x:c r="F7" s="16" t="str">
        <x:v>Included</x:v>
      </x:c>
      <x:c r="G7" s="16" t="str">
        <x:v>Cabinet and accessories</x:v>
      </x:c>
    </x:row>
    <x:row r="8" ht="16.799999237060547" hidden="0" customHeight="1">
      <x:c r="A8" s="16" t="str">
        <x:v>C-01</x:v>
      </x:c>
      <x:c r="B8" s="16" t="str">
        <x:v>SW-001</x:v>
      </x:c>
      <x:c r="C8" s="16" t="n">
        <x:v>1</x:v>
      </x:c>
      <x:c r="D8" s="20" t="n">
        <x:f>IFERROR(VLOOKUP(B8,'03_SKU_Master'!$A$2:$G$200,4,FALSE),0)</x:f>
        <x:v>70</x:v>
      </x:c>
      <x:c r="E8" s="20" t="n">
        <x:f t="shared" si="0">C8*D8</x:f>
        <x:v>70</x:v>
      </x:c>
      <x:c r="F8" s="16" t="str">
        <x:v>Included</x:v>
      </x:c>
      <x:c r="G8" s="16" t="str">
        <x:v>Up to six circuits</x:v>
      </x:c>
    </x:row>
    <x:row r="9" ht="16.799999237060547" hidden="0" customHeight="1">
      <x:c r="A9" s="16" t="str">
        <x:v>C-01</x:v>
      </x:c>
      <x:c r="B9" s="16" t="str">
        <x:v>LK-001</x:v>
      </x:c>
      <x:c r="C9" s="16" t="n">
        <x:v>1</x:v>
      </x:c>
      <x:c r="D9" s="20" t="n">
        <x:f>IFERROR(VLOOKUP(B9,'03_SKU_Master'!$A$2:$G$200,4,FALSE),0)</x:f>
        <x:v>240</x:v>
      </x:c>
      <x:c r="E9" s="20" t="n">
        <x:f t="shared" si="0">C9*D9</x:f>
        <x:v>240</x:v>
      </x:c>
      <x:c r="F9" s="16" t="str">
        <x:v>Included</x:v>
      </x:c>
      <x:c r="G9" s="16" t="str">
        <x:v>Smart access</x:v>
      </x:c>
    </x:row>
    <x:row r="10" ht="16.799999237060547" hidden="0" customHeight="1">
      <x:c r="A10" s="16" t="str">
        <x:v>C-01</x:v>
      </x:c>
      <x:c r="B10" s="16" t="str">
        <x:v>DB-001</x:v>
      </x:c>
      <x:c r="C10" s="16" t="n">
        <x:v>1</x:v>
      </x:c>
      <x:c r="D10" s="20" t="n">
        <x:f>IFERROR(VLOOKUP(B10,'03_SKU_Master'!$A$2:$G$200,4,FALSE),0)</x:f>
        <x:v>69</x:v>
      </x:c>
      <x:c r="E10" s="20" t="n">
        <x:f t="shared" si="0">C10*D10</x:f>
        <x:v>69</x:v>
      </x:c>
      <x:c r="F10" s="16" t="str">
        <x:v>Included</x:v>
      </x:c>
      <x:c r="G10" s="16" t="str">
        <x:v>Wireless video doorbell</x:v>
      </x:c>
    </x:row>
    <x:row r="11" ht="16.799999237060547" hidden="0" customHeight="1">
      <x:c r="A11" s="16" t="str">
        <x:v>C-01</x:v>
      </x:c>
      <x:c r="B11" s="16" t="str">
        <x:v>PIR-001</x:v>
      </x:c>
      <x:c r="C11" s="16" t="n">
        <x:v>1</x:v>
      </x:c>
      <x:c r="D11" s="20" t="n">
        <x:f>IFERROR(VLOOKUP(B11,'03_SKU_Master'!$A$2:$G$200,4,FALSE),0)</x:f>
        <x:v>107</x:v>
      </x:c>
      <x:c r="E11" s="20" t="n">
        <x:f t="shared" si="0">C11*D11</x:f>
        <x:v>107</x:v>
      </x:c>
      <x:c r="F11" s="16" t="str">
        <x:v>Included</x:v>
      </x:c>
      <x:c r="G11" s="16" t="str">
        <x:v>Outdoor</x:v>
      </x:c>
    </x:row>
    <x:row r="12" ht="16.799999237060547" hidden="0" customHeight="1">
      <x:c r="A12" s="16" t="str">
        <x:v>C-01</x:v>
      </x:c>
      <x:c r="B12" s="16" t="str">
        <x:v>OCC-001</x:v>
      </x:c>
      <x:c r="C12" s="16" t="n">
        <x:v>1</x:v>
      </x:c>
      <x:c r="D12" s="20" t="n">
        <x:f>IFERROR(VLOOKUP(B12,'03_SKU_Master'!$A$2:$G$200,4,FALSE),0)</x:f>
        <x:v>130</x:v>
      </x:c>
      <x:c r="E12" s="20" t="n">
        <x:f t="shared" si="0">C12*D12</x:f>
        <x:v>130</x:v>
      </x:c>
      <x:c r="F12" s="16" t="str">
        <x:v>Included</x:v>
      </x:c>
      <x:c r="G12" s="16" t="str">
        <x:v>Indoor</x:v>
      </x:c>
    </x:row>
    <x:row r="13" ht="16.799999237060547" hidden="0" customHeight="1">
      <x:c r="A13" s="16" t="str">
        <x:v>C-01</x:v>
      </x:c>
      <x:c r="B13" s="16" t="str">
        <x:v>GAR-REL</x:v>
      </x:c>
      <x:c r="C13" s="16" t="n">
        <x:v>1</x:v>
      </x:c>
      <x:c r="D13" s="20" t="n">
        <x:f>IFERROR(VLOOKUP(B13,'03_SKU_Master'!$A$2:$G$200,4,FALSE),0)</x:f>
        <x:v>46</x:v>
      </x:c>
      <x:c r="E13" s="20" t="n">
        <x:f t="shared" si="0">C13*D13</x:f>
        <x:v>46</x:v>
      </x:c>
      <x:c r="F13" s="16" t="str">
        <x:v>Included</x:v>
      </x:c>
      <x:c r="G13" s="16" t="str">
        <x:v>Garage manual control</x:v>
      </x:c>
    </x:row>
    <x:row r="14" ht="16.799999237060547" hidden="0" customHeight="1">
      <x:c r="A14" s="16" t="str">
        <x:v>C-02</x:v>
      </x:c>
      <x:c r="B14" s="16" t="str">
        <x:v>SW-001</x:v>
      </x:c>
      <x:c r="C14" s="16" t="n">
        <x:v>1</x:v>
      </x:c>
      <x:c r="D14" s="20" t="n">
        <x:f>IFERROR(VLOOKUP(B14,'03_SKU_Master'!$A$2:$G$200,4,FALSE),0)</x:f>
        <x:v>70</x:v>
      </x:c>
      <x:c r="E14" s="20" t="n">
        <x:f t="shared" si="0">C14*D14</x:f>
        <x:v>70</x:v>
      </x:c>
      <x:c r="F14" s="16" t="str">
        <x:v>Included</x:v>
      </x:c>
      <x:c r="G14" s="16" t="str">
        <x:v>Lighting</x:v>
      </x:c>
    </x:row>
    <x:row r="15" ht="16.799999237060547" hidden="0" customHeight="1">
      <x:c r="A15" s="16" t="str">
        <x:v>C-02</x:v>
      </x:c>
      <x:c r="B15" s="16" t="str">
        <x:v>DM-001</x:v>
      </x:c>
      <x:c r="C15" s="16" t="n">
        <x:v>1</x:v>
      </x:c>
      <x:c r="D15" s="20" t="n">
        <x:f>IFERROR(VLOOKUP(B15,'03_SKU_Master'!$A$2:$G$200,4,FALSE),0)</x:f>
        <x:v>58</x:v>
      </x:c>
      <x:c r="E15" s="20" t="n">
        <x:f t="shared" si="0">C15*D15</x:f>
        <x:v>58</x:v>
      </x:c>
      <x:c r="F15" s="16" t="str">
        <x:v>Included</x:v>
      </x:c>
      <x:c r="G15" s="16" t="str">
        <x:v>Dimming</x:v>
      </x:c>
    </x:row>
    <x:row r="16" ht="16.799999237060547" hidden="0" customHeight="1">
      <x:c r="A16" s="16" t="str">
        <x:v>C-02</x:v>
      </x:c>
      <x:c r="B16" s="16" t="str">
        <x:v>SN-001</x:v>
      </x:c>
      <x:c r="C16" s="16" t="n">
        <x:v>1</x:v>
      </x:c>
      <x:c r="D16" s="20" t="n">
        <x:f>IFERROR(VLOOKUP(B16,'03_SKU_Master'!$A$2:$G$200,4,FALSE),0)</x:f>
        <x:v>165</x:v>
      </x:c>
      <x:c r="E16" s="20" t="n">
        <x:f t="shared" si="0">C16*D16</x:f>
        <x:v>165</x:v>
      </x:c>
      <x:c r="F16" s="16" t="str">
        <x:v>Included</x:v>
      </x:c>
      <x:c r="G16" s="16" t="str">
        <x:v>Presence and IR</x:v>
      </x:c>
    </x:row>
    <x:row r="17" ht="16.799999237060547" hidden="0" customHeight="1">
      <x:c r="A17" s="16" t="str">
        <x:v>C-02</x:v>
      </x:c>
      <x:c r="B17" s="16" t="str">
        <x:v>CM-001</x:v>
      </x:c>
      <x:c r="C17" s="16" t="n">
        <x:v>1</x:v>
      </x:c>
      <x:c r="D17" s="20" t="n">
        <x:f>IFERROR(VLOOKUP(B17,'03_SKU_Master'!$A$2:$G$200,4,FALSE),0)</x:f>
        <x:v>150</x:v>
      </x:c>
      <x:c r="E17" s="20" t="n">
        <x:f t="shared" si="0">C17*D17</x:f>
        <x:v>150</x:v>
      </x:c>
      <x:c r="F17" s="16" t="str">
        <x:v>Included</x:v>
      </x:c>
      <x:c r="G17" s="16" t="str">
        <x:v>Curtain</x:v>
      </x:c>
    </x:row>
    <x:row r="18" ht="16.799999237060547" hidden="0" customHeight="1">
      <x:c r="A18" s="16" t="str">
        <x:v>C-02</x:v>
      </x:c>
      <x:c r="B18" s="16" t="str">
        <x:v>CT-001</x:v>
      </x:c>
      <x:c r="C18" s="16" t="n">
        <x:v>1</x:v>
      </x:c>
      <x:c r="D18" s="20" t="n">
        <x:f>IFERROR(VLOOKUP(B18,'03_SKU_Master'!$A$2:$G$200,4,FALSE),0)</x:f>
        <x:v>150</x:v>
      </x:c>
      <x:c r="E18" s="20" t="n">
        <x:f t="shared" si="0">C18*D18</x:f>
        <x:v>150</x:v>
      </x:c>
      <x:c r="F18" s="16" t="str">
        <x:v>Included</x:v>
      </x:c>
      <x:c r="G18" s="16" t="str">
        <x:v>&lt;=3m</x:v>
      </x:c>
    </x:row>
    <x:row r="19" ht="16.799999237060547" hidden="0" customHeight="1">
      <x:c r="A19" s="16" t="str">
        <x:v>C-02</x:v>
      </x:c>
      <x:c r="B19" s="16" t="str">
        <x:v>SP-001</x:v>
      </x:c>
      <x:c r="C19" s="16" t="n">
        <x:v>1</x:v>
      </x:c>
      <x:c r="D19" s="20" t="n">
        <x:f>IFERROR(VLOOKUP(B19,'03_SKU_Master'!$A$2:$G$200,4,FALSE),0)</x:f>
        <x:v>199</x:v>
      </x:c>
      <x:c r="E19" s="20" t="n">
        <x:f t="shared" si="0">C19*D19</x:f>
        <x:v>199</x:v>
      </x:c>
      <x:c r="F19" s="16" t="str">
        <x:v>Included</x:v>
      </x:c>
      <x:c r="G19" s="16" t="str">
        <x:v>Voice</x:v>
      </x:c>
    </x:row>
    <x:row r="20" ht="16.799999237060547" hidden="0" customHeight="1">
      <x:c r="A20" s="16" t="str">
        <x:v>C-02</x:v>
      </x:c>
      <x:c r="B20" s="16" t="str">
        <x:v>RGB-CTRL</x:v>
      </x:c>
      <x:c r="C20" s="16" t="n">
        <x:v>1</x:v>
      </x:c>
      <x:c r="D20" s="20" t="n">
        <x:f>IFERROR(VLOOKUP(B20,'03_SKU_Master'!$A$2:$G$200,4,FALSE),0)</x:f>
        <x:v>100</x:v>
      </x:c>
      <x:c r="E20" s="20" t="n">
        <x:f t="shared" si="0">C20*D20</x:f>
        <x:v>100</x:v>
      </x:c>
      <x:c r="F20" s="16" t="str">
        <x:v>Included</x:v>
      </x:c>
      <x:c r="G20" s="16" t="str">
        <x:v>Warm zone control</x:v>
      </x:c>
    </x:row>
    <x:row r="21" ht="16.799999237060547" hidden="0" customHeight="1">
      <x:c r="A21" s="16" t="str">
        <x:v>C-02</x:v>
      </x:c>
      <x:c r="B21" s="16" t="str">
        <x:v>PSU-24-76</x:v>
      </x:c>
      <x:c r="C21" s="16" t="n">
        <x:v>1</x:v>
      </x:c>
      <x:c r="D21" s="20" t="n">
        <x:f>IFERROR(VLOOKUP(B21,'03_SKU_Master'!$A$2:$G$200,4,FALSE),0)</x:f>
        <x:v>40.16</x:v>
      </x:c>
      <x:c r="E21" s="20" t="n">
        <x:f t="shared" si="0">C21*D21</x:f>
        <x:v>40.16</x:v>
      </x:c>
      <x:c r="F21" s="16" t="str">
        <x:v>Included</x:v>
      </x:c>
      <x:c r="G21" s="16" t="str">
        <x:v>Warm zone power</x:v>
      </x:c>
    </x:row>
    <x:row r="22" ht="16.799999237060547" hidden="0" customHeight="1">
      <x:c r="A22" s="16" t="str">
        <x:v>C-02</x:v>
      </x:c>
      <x:c r="B22" s="16" t="str">
        <x:v>WW-STRIP-3</x:v>
      </x:c>
      <x:c r="C22" s="16" t="n">
        <x:v>1</x:v>
      </x:c>
      <x:c r="D22" s="20" t="n">
        <x:f>IFERROR(VLOOKUP(B22,'03_SKU_Master'!$A$2:$G$200,4,FALSE),0)</x:f>
        <x:v>6</x:v>
      </x:c>
      <x:c r="E22" s="20" t="n">
        <x:f t="shared" si="0">C22*D22</x:f>
        <x:v>6</x:v>
      </x:c>
      <x:c r="F22" s="16" t="str">
        <x:v>Included</x:v>
      </x:c>
      <x:c r="G22" s="16" t="str">
        <x:v>Warm ambient zone</x:v>
      </x:c>
    </x:row>
    <x:row r="23" ht="16.799999237060547" hidden="0" customHeight="1">
      <x:c r="A23" s="16" t="str">
        <x:v>C-03</x:v>
      </x:c>
      <x:c r="B23" s="16" t="str">
        <x:v>SW-001</x:v>
      </x:c>
      <x:c r="C23" s="16" t="n">
        <x:v>1</x:v>
      </x:c>
      <x:c r="D23" s="20" t="n">
        <x:f>IFERROR(VLOOKUP(B23,'03_SKU_Master'!$A$2:$G$200,4,FALSE),0)</x:f>
        <x:v>70</x:v>
      </x:c>
      <x:c r="E23" s="20" t="n">
        <x:f t="shared" si="0">C23*D23</x:f>
        <x:v>70</x:v>
      </x:c>
      <x:c r="F23" s="16" t="str">
        <x:v>Included</x:v>
      </x:c>
      <x:c r="G23" s="16" t="str">
        <x:v>Lighting</x:v>
      </x:c>
    </x:row>
    <x:row r="24" ht="16.799999237060547" hidden="0" customHeight="1">
      <x:c r="A24" s="16" t="str">
        <x:v>C-03</x:v>
      </x:c>
      <x:c r="B24" s="16" t="str">
        <x:v>DM-001</x:v>
      </x:c>
      <x:c r="C24" s="16" t="n">
        <x:v>1</x:v>
      </x:c>
      <x:c r="D24" s="20" t="n">
        <x:f>IFERROR(VLOOKUP(B24,'03_SKU_Master'!$A$2:$G$200,4,FALSE),0)</x:f>
        <x:v>58</x:v>
      </x:c>
      <x:c r="E24" s="20" t="n">
        <x:f t="shared" si="0">C24*D24</x:f>
        <x:v>58</x:v>
      </x:c>
      <x:c r="F24" s="16" t="str">
        <x:v>Included</x:v>
      </x:c>
      <x:c r="G24" s="16" t="str">
        <x:v>Dimming</x:v>
      </x:c>
    </x:row>
    <x:row r="25" ht="16.799999237060547" hidden="0" customHeight="1">
      <x:c r="A25" s="16" t="str">
        <x:v>C-03</x:v>
      </x:c>
      <x:c r="B25" s="16" t="str">
        <x:v>OCC-001</x:v>
      </x:c>
      <x:c r="C25" s="16" t="n">
        <x:v>1</x:v>
      </x:c>
      <x:c r="D25" s="20" t="n">
        <x:f>IFERROR(VLOOKUP(B25,'03_SKU_Master'!$A$2:$G$200,4,FALSE),0)</x:f>
        <x:v>130</x:v>
      </x:c>
      <x:c r="E25" s="20" t="n">
        <x:f t="shared" si="0">C25*D25</x:f>
        <x:v>130</x:v>
      </x:c>
      <x:c r="F25" s="16" t="str">
        <x:v>Included</x:v>
      </x:c>
      <x:c r="G25" s="16" t="str">
        <x:v>Presence</x:v>
      </x:c>
    </x:row>
    <x:row r="26" ht="16.799999237060547" hidden="0" customHeight="1">
      <x:c r="A26" s="16" t="str">
        <x:v>C-03</x:v>
      </x:c>
      <x:c r="B26" s="16" t="str">
        <x:v>RGB-CTRL</x:v>
      </x:c>
      <x:c r="C26" s="16" t="n">
        <x:v>1</x:v>
      </x:c>
      <x:c r="D26" s="20" t="n">
        <x:f>IFERROR(VLOOKUP(B26,'03_SKU_Master'!$A$2:$G$200,4,FALSE),0)</x:f>
        <x:v>100</x:v>
      </x:c>
      <x:c r="E26" s="20" t="n">
        <x:f t="shared" si="0">C26*D26</x:f>
        <x:v>100</x:v>
      </x:c>
      <x:c r="F26" s="16" t="str">
        <x:v>Included</x:v>
      </x:c>
      <x:c r="G26" s="16" t="str">
        <x:v>Warm zone control</x:v>
      </x:c>
    </x:row>
    <x:row r="27" ht="16.799999237060547" hidden="0" customHeight="1">
      <x:c r="A27" s="16" t="str">
        <x:v>C-03</x:v>
      </x:c>
      <x:c r="B27" s="16" t="str">
        <x:v>PSU-24-76</x:v>
      </x:c>
      <x:c r="C27" s="16" t="n">
        <x:v>1</x:v>
      </x:c>
      <x:c r="D27" s="20" t="n">
        <x:f>IFERROR(VLOOKUP(B27,'03_SKU_Master'!$A$2:$G$200,4,FALSE),0)</x:f>
        <x:v>40.16</x:v>
      </x:c>
      <x:c r="E27" s="20" t="n">
        <x:f t="shared" si="0">C27*D27</x:f>
        <x:v>40.16</x:v>
      </x:c>
      <x:c r="F27" s="16" t="str">
        <x:v>Included</x:v>
      </x:c>
      <x:c r="G27" s="16" t="str">
        <x:v>Warm zone power</x:v>
      </x:c>
    </x:row>
    <x:row r="28" ht="16.799999237060547" hidden="0" customHeight="1">
      <x:c r="A28" s="16" t="str">
        <x:v>C-03</x:v>
      </x:c>
      <x:c r="B28" s="16" t="str">
        <x:v>WW-STRIP-3</x:v>
      </x:c>
      <x:c r="C28" s="16" t="n">
        <x:v>1</x:v>
      </x:c>
      <x:c r="D28" s="20" t="n">
        <x:f>IFERROR(VLOOKUP(B28,'03_SKU_Master'!$A$2:$G$200,4,FALSE),0)</x:f>
        <x:v>6</x:v>
      </x:c>
      <x:c r="E28" s="20" t="n">
        <x:f t="shared" si="0">C28*D28</x:f>
        <x:v>6</x:v>
      </x:c>
      <x:c r="F28" s="16" t="str">
        <x:v>Included</x:v>
      </x:c>
      <x:c r="G28" s="16" t="str">
        <x:v>Kickboard</x:v>
      </x:c>
    </x:row>
    <x:row r="29" ht="16.799999237060547" hidden="0" customHeight="1">
      <x:c r="A29" s="16" t="str">
        <x:v>C-03</x:v>
      </x:c>
      <x:c r="B29" s="16" t="str">
        <x:v>HUB-001</x:v>
      </x:c>
      <x:c r="C29" s="16" t="n">
        <x:v>1</x:v>
      </x:c>
      <x:c r="D29" s="20" t="n">
        <x:f>IFERROR(VLOOKUP(B29,'03_SKU_Master'!$A$2:$G$200,4,FALSE),0)</x:f>
        <x:v>149</x:v>
      </x:c>
      <x:c r="E29" s="20" t="n">
        <x:f t="shared" si="0">C29*D29</x:f>
        <x:v>149</x:v>
      </x:c>
      <x:c r="F29" s="16" t="str">
        <x:v>Included</x:v>
      </x:c>
      <x:c r="G29" s="16" t="str">
        <x:v>Smart display</x:v>
      </x:c>
    </x:row>
    <x:row r="30" ht="16.799999237060547" hidden="0" customHeight="1">
      <x:c r="A30" s="16" t="str">
        <x:v>C-03</x:v>
      </x:c>
      <x:c r="B30" s="16" t="str">
        <x:v>PLG-001</x:v>
      </x:c>
      <x:c r="C30" s="16" t="n">
        <x:v>1</x:v>
      </x:c>
      <x:c r="D30" s="20" t="n">
        <x:f>IFERROR(VLOOKUP(B30,'03_SKU_Master'!$A$2:$G$200,4,FALSE),0)</x:f>
        <x:v>26</x:v>
      </x:c>
      <x:c r="E30" s="20" t="n">
        <x:f t="shared" si="0">C30*D30</x:f>
        <x:v>26</x:v>
      </x:c>
      <x:c r="F30" s="16" t="str">
        <x:v>Included</x:v>
      </x:c>
      <x:c r="G30" s="16" t="str">
        <x:v>Appliance outlet</x:v>
      </x:c>
    </x:row>
    <x:row r="31" ht="16.799999237060547" hidden="0" customHeight="1">
      <x:c r="A31" s="16" t="str">
        <x:v>C-04</x:v>
      </x:c>
      <x:c r="B31" s="16" t="str">
        <x:v>SW-001</x:v>
      </x:c>
      <x:c r="C31" s="16" t="n">
        <x:v>1</x:v>
      </x:c>
      <x:c r="D31" s="20" t="n">
        <x:f>IFERROR(VLOOKUP(B31,'03_SKU_Master'!$A$2:$G$200,4,FALSE),0)</x:f>
        <x:v>70</x:v>
      </x:c>
      <x:c r="E31" s="20" t="n">
        <x:f t="shared" si="0">C31*D31</x:f>
        <x:v>70</x:v>
      </x:c>
      <x:c r="F31" s="16" t="str">
        <x:v>Included</x:v>
      </x:c>
      <x:c r="G31" s="16" t="str">
        <x:v>Lighting</x:v>
      </x:c>
    </x:row>
    <x:row r="32" ht="16.799999237060547" hidden="0" customHeight="1">
      <x:c r="A32" s="16" t="str">
        <x:v>C-04</x:v>
      </x:c>
      <x:c r="B32" s="16" t="str">
        <x:v>DM-001</x:v>
      </x:c>
      <x:c r="C32" s="16" t="n">
        <x:v>1</x:v>
      </x:c>
      <x:c r="D32" s="20" t="n">
        <x:f>IFERROR(VLOOKUP(B32,'03_SKU_Master'!$A$2:$G$200,4,FALSE),0)</x:f>
        <x:v>58</x:v>
      </x:c>
      <x:c r="E32" s="20" t="n">
        <x:f t="shared" si="0">C32*D32</x:f>
        <x:v>58</x:v>
      </x:c>
      <x:c r="F32" s="16" t="str">
        <x:v>Included</x:v>
      </x:c>
      <x:c r="G32" s="16" t="str">
        <x:v>Dimming</x:v>
      </x:c>
    </x:row>
    <x:row r="33" ht="16.799999237060547" hidden="0" customHeight="1">
      <x:c r="A33" s="16" t="str">
        <x:v>C-04</x:v>
      </x:c>
      <x:c r="B33" s="16" t="str">
        <x:v>SN-001</x:v>
      </x:c>
      <x:c r="C33" s="16" t="n">
        <x:v>1</x:v>
      </x:c>
      <x:c r="D33" s="20" t="n">
        <x:f>IFERROR(VLOOKUP(B33,'03_SKU_Master'!$A$2:$G$200,4,FALSE),0)</x:f>
        <x:v>165</x:v>
      </x:c>
      <x:c r="E33" s="20" t="n">
        <x:f t="shared" si="0">C33*D33</x:f>
        <x:v>165</x:v>
      </x:c>
      <x:c r="F33" s="16" t="str">
        <x:v>Included</x:v>
      </x:c>
      <x:c r="G33" s="16" t="str">
        <x:v>Presence and IR</x:v>
      </x:c>
    </x:row>
    <x:row r="34" ht="16.799999237060547" hidden="0" customHeight="1">
      <x:c r="A34" s="16" t="str">
        <x:v>C-04</x:v>
      </x:c>
      <x:c r="B34" s="16" t="str">
        <x:v>CM-001</x:v>
      </x:c>
      <x:c r="C34" s="16" t="n">
        <x:v>1</x:v>
      </x:c>
      <x:c r="D34" s="20" t="n">
        <x:f>IFERROR(VLOOKUP(B34,'03_SKU_Master'!$A$2:$G$200,4,FALSE),0)</x:f>
        <x:v>150</x:v>
      </x:c>
      <x:c r="E34" s="20" t="n">
        <x:f t="shared" si="0">C34*D34</x:f>
        <x:v>150</x:v>
      </x:c>
      <x:c r="F34" s="16" t="str">
        <x:v>Included</x:v>
      </x:c>
      <x:c r="G34" s="16" t="str">
        <x:v>Curtain</x:v>
      </x:c>
    </x:row>
    <x:row r="35" ht="16.799999237060547" hidden="0" customHeight="1">
      <x:c r="A35" s="16" t="str">
        <x:v>C-04</x:v>
      </x:c>
      <x:c r="B35" s="16" t="str">
        <x:v>CT-001</x:v>
      </x:c>
      <x:c r="C35" s="16" t="n">
        <x:v>1</x:v>
      </x:c>
      <x:c r="D35" s="20" t="n">
        <x:f>IFERROR(VLOOKUP(B35,'03_SKU_Master'!$A$2:$G$200,4,FALSE),0)</x:f>
        <x:v>150</x:v>
      </x:c>
      <x:c r="E35" s="20" t="n">
        <x:f t="shared" si="0">C35*D35</x:f>
        <x:v>150</x:v>
      </x:c>
      <x:c r="F35" s="16" t="str">
        <x:v>Included</x:v>
      </x:c>
      <x:c r="G35" s="16" t="str">
        <x:v>&lt;=3m</x:v>
      </x:c>
    </x:row>
    <x:row r="36" ht="16.799999237060547" hidden="0" customHeight="1">
      <x:c r="A36" s="16" t="str">
        <x:v>C-04</x:v>
      </x:c>
      <x:c r="B36" s="16" t="str">
        <x:v>SP-001</x:v>
      </x:c>
      <x:c r="C36" s="16" t="n">
        <x:v>1</x:v>
      </x:c>
      <x:c r="D36" s="20" t="n">
        <x:f>IFERROR(VLOOKUP(B36,'03_SKU_Master'!$A$2:$G$200,4,FALSE),0)</x:f>
        <x:v>199</x:v>
      </x:c>
      <x:c r="E36" s="20" t="n">
        <x:f t="shared" si="0">C36*D36</x:f>
        <x:v>199</x:v>
      </x:c>
      <x:c r="F36" s="16" t="str">
        <x:v>Included</x:v>
      </x:c>
      <x:c r="G36" s="16" t="str">
        <x:v>Voice / sleep sounds</x:v>
      </x:c>
    </x:row>
    <x:row r="37" ht="16.799999237060547" hidden="0" customHeight="1">
      <x:c r="A37" s="16" t="str">
        <x:v>C-04</x:v>
      </x:c>
      <x:c r="B37" s="16" t="str">
        <x:v>RGB-CTRL</x:v>
      </x:c>
      <x:c r="C37" s="16" t="n">
        <x:v>1</x:v>
      </x:c>
      <x:c r="D37" s="20" t="n">
        <x:f>IFERROR(VLOOKUP(B37,'03_SKU_Master'!$A$2:$G$200,4,FALSE),0)</x:f>
        <x:v>100</x:v>
      </x:c>
      <x:c r="E37" s="20" t="n">
        <x:f t="shared" si="0">C37*D37</x:f>
        <x:v>100</x:v>
      </x:c>
      <x:c r="F37" s="16" t="str">
        <x:v>Included</x:v>
      </x:c>
      <x:c r="G37" s="16" t="str">
        <x:v>Warm zone control</x:v>
      </x:c>
    </x:row>
    <x:row r="38" ht="16.799999237060547" hidden="0" customHeight="1">
      <x:c r="A38" s="16" t="str">
        <x:v>C-04</x:v>
      </x:c>
      <x:c r="B38" s="16" t="str">
        <x:v>PSU-24-76</x:v>
      </x:c>
      <x:c r="C38" s="16" t="n">
        <x:v>1</x:v>
      </x:c>
      <x:c r="D38" s="20" t="n">
        <x:f>IFERROR(VLOOKUP(B38,'03_SKU_Master'!$A$2:$G$200,4,FALSE),0)</x:f>
        <x:v>40.16</x:v>
      </x:c>
      <x:c r="E38" s="20" t="n">
        <x:f t="shared" si="0">C38*D38</x:f>
        <x:v>40.16</x:v>
      </x:c>
      <x:c r="F38" s="16" t="str">
        <x:v>Included</x:v>
      </x:c>
      <x:c r="G38" s="16" t="str">
        <x:v>Warm zone power</x:v>
      </x:c>
    </x:row>
    <x:row r="39" ht="16.799999237060547" hidden="0" customHeight="1">
      <x:c r="A39" s="16" t="str">
        <x:v>C-04</x:v>
      </x:c>
      <x:c r="B39" s="16" t="str">
        <x:v>WW-STRIP-3</x:v>
      </x:c>
      <x:c r="C39" s="16" t="n">
        <x:v>1</x:v>
      </x:c>
      <x:c r="D39" s="20" t="n">
        <x:f>IFERROR(VLOOKUP(B39,'03_SKU_Master'!$A$2:$G$200,4,FALSE),0)</x:f>
        <x:v>6</x:v>
      </x:c>
      <x:c r="E39" s="20" t="n">
        <x:f t="shared" si="0">C39*D39</x:f>
        <x:v>6</x:v>
      </x:c>
      <x:c r="F39" s="16" t="str">
        <x:v>Included</x:v>
      </x:c>
      <x:c r="G39" s="16" t="str">
        <x:v>Night zone</x:v>
      </x:c>
    </x:row>
    <x:row r="40" ht="16.799999237060547" hidden="0" customHeight="1">
      <x:c r="A40" s="16" t="str">
        <x:v>C-04</x:v>
      </x:c>
      <x:c r="B40" s="16" t="str">
        <x:v>BED-REMOTE</x:v>
      </x:c>
      <x:c r="C40" s="16" t="n">
        <x:v>2</x:v>
      </x:c>
      <x:c r="D40" s="20" t="n">
        <x:f>IFERROR(VLOOKUP(B40,'03_SKU_Master'!$A$2:$G$200,4,FALSE),0)</x:f>
        <x:v>50</x:v>
      </x:c>
      <x:c r="E40" s="20" t="n">
        <x:f t="shared" si="0">C40*D40</x:f>
        <x:v>100</x:v>
      </x:c>
      <x:c r="F40" s="16" t="str">
        <x:v>Included</x:v>
      </x:c>
      <x:c r="G40" s="16" t="str">
        <x:v>Two bedside remotes</x:v>
      </x:c>
    </x:row>
    <x:row r="41" ht="16.799999237060547" hidden="0" customHeight="1">
      <x:c r="A41" s="16" t="str">
        <x:v>C-05</x:v>
      </x:c>
      <x:c r="B41" s="16" t="str">
        <x:v>SW-001</x:v>
      </x:c>
      <x:c r="C41" s="16" t="n">
        <x:v>1</x:v>
      </x:c>
      <x:c r="D41" s="20" t="n">
        <x:f>IFERROR(VLOOKUP(B41,'03_SKU_Master'!$A$2:$G$200,4,FALSE),0)</x:f>
        <x:v>70</x:v>
      </x:c>
      <x:c r="E41" s="20" t="n">
        <x:f t="shared" si="0">C41*D41</x:f>
        <x:v>70</x:v>
      </x:c>
      <x:c r="F41" s="16" t="str">
        <x:v>Included</x:v>
      </x:c>
      <x:c r="G41" s="16" t="str">
        <x:v>Lighting/fan/heating</x:v>
      </x:c>
    </x:row>
    <x:row r="42" ht="16.799999237060547" hidden="0" customHeight="1">
      <x:c r="A42" s="16" t="str">
        <x:v>C-05</x:v>
      </x:c>
      <x:c r="B42" s="16" t="str">
        <x:v>DM-001</x:v>
      </x:c>
      <x:c r="C42" s="16" t="n">
        <x:v>1</x:v>
      </x:c>
      <x:c r="D42" s="20" t="n">
        <x:f>IFERROR(VLOOKUP(B42,'03_SKU_Master'!$A$2:$G$200,4,FALSE),0)</x:f>
        <x:v>58</x:v>
      </x:c>
      <x:c r="E42" s="20" t="n">
        <x:f t="shared" si="0">C42*D42</x:f>
        <x:v>58</x:v>
      </x:c>
      <x:c r="F42" s="16" t="str">
        <x:v>Included</x:v>
      </x:c>
      <x:c r="G42" s="16" t="str">
        <x:v>Dimming</x:v>
      </x:c>
    </x:row>
    <x:row r="43" ht="16.799999237060547" hidden="0" customHeight="1">
      <x:c r="A43" s="16" t="str">
        <x:v>C-05</x:v>
      </x:c>
      <x:c r="B43" s="16" t="str">
        <x:v>OCC-001</x:v>
      </x:c>
      <x:c r="C43" s="16" t="n">
        <x:v>1</x:v>
      </x:c>
      <x:c r="D43" s="20" t="n">
        <x:f>IFERROR(VLOOKUP(B43,'03_SKU_Master'!$A$2:$G$200,4,FALSE),0)</x:f>
        <x:v>130</x:v>
      </x:c>
      <x:c r="E43" s="20" t="n">
        <x:f t="shared" si="0">C43*D43</x:f>
        <x:v>130</x:v>
      </x:c>
      <x:c r="F43" s="16" t="str">
        <x:v>Included</x:v>
      </x:c>
      <x:c r="G43" s="16" t="str">
        <x:v>Presence</x:v>
      </x:c>
    </x:row>
    <x:row r="44" ht="16.799999237060547" hidden="0" customHeight="1">
      <x:c r="A44" s="16" t="str">
        <x:v>C-05</x:v>
      </x:c>
      <x:c r="B44" s="16" t="str">
        <x:v>RGB-CTRL</x:v>
      </x:c>
      <x:c r="C44" s="16" t="n">
        <x:v>1</x:v>
      </x:c>
      <x:c r="D44" s="20" t="n">
        <x:f>IFERROR(VLOOKUP(B44,'03_SKU_Master'!$A$2:$G$200,4,FALSE),0)</x:f>
        <x:v>100</x:v>
      </x:c>
      <x:c r="E44" s="20" t="n">
        <x:f t="shared" si="0">C44*D44</x:f>
        <x:v>100</x:v>
      </x:c>
      <x:c r="F44" s="16" t="str">
        <x:v>Included</x:v>
      </x:c>
      <x:c r="G44" s="16" t="str">
        <x:v>Warm zone control</x:v>
      </x:c>
    </x:row>
    <x:row r="45" ht="16.799999237060547" hidden="0" customHeight="1">
      <x:c r="A45" s="16" t="str">
        <x:v>C-05</x:v>
      </x:c>
      <x:c r="B45" s="16" t="str">
        <x:v>PSU-24-76</x:v>
      </x:c>
      <x:c r="C45" s="16" t="n">
        <x:v>1</x:v>
      </x:c>
      <x:c r="D45" s="20" t="n">
        <x:f>IFERROR(VLOOKUP(B45,'03_SKU_Master'!$A$2:$G$200,4,FALSE),0)</x:f>
        <x:v>40.16</x:v>
      </x:c>
      <x:c r="E45" s="20" t="n">
        <x:f t="shared" si="0">C45*D45</x:f>
        <x:v>40.16</x:v>
      </x:c>
      <x:c r="F45" s="16" t="str">
        <x:v>Included</x:v>
      </x:c>
      <x:c r="G45" s="16" t="str">
        <x:v>Warm zone power</x:v>
      </x:c>
    </x:row>
    <x:row r="46" ht="16.799999237060547" hidden="0" customHeight="1">
      <x:c r="A46" s="16" t="str">
        <x:v>C-05</x:v>
      </x:c>
      <x:c r="B46" s="16" t="str">
        <x:v>WW-STRIP-3</x:v>
      </x:c>
      <x:c r="C46" s="16" t="n">
        <x:v>1</x:v>
      </x:c>
      <x:c r="D46" s="20" t="n">
        <x:f>IFERROR(VLOOKUP(B46,'03_SKU_Master'!$A$2:$G$200,4,FALSE),0)</x:f>
        <x:v>6</x:v>
      </x:c>
      <x:c r="E46" s="20" t="n">
        <x:f t="shared" si="0">C46*D46</x:f>
        <x:v>6</x:v>
      </x:c>
      <x:c r="F46" s="16" t="str">
        <x:v>Included</x:v>
      </x:c>
      <x:c r="G46" s="16" t="str">
        <x:v>Night zone</x:v>
      </x:c>
    </x:row>
    <x:row r="47" ht="16.799999237060547" hidden="0" customHeight="1">
      <x:c r="A47" s="16" t="str">
        <x:v>C-06</x:v>
      </x:c>
      <x:c r="B47" s="16" t="str">
        <x:v>MAG-001</x:v>
      </x:c>
      <x:c r="C47" s="16" t="n">
        <x:v>4</x:v>
      </x:c>
      <x:c r="D47" s="20" t="n">
        <x:f>IFERROR(VLOOKUP(B47,'03_SKU_Master'!$A$2:$G$200,4,FALSE),0)</x:f>
        <x:v>44</x:v>
      </x:c>
      <x:c r="E47" s="20" t="n">
        <x:f t="shared" si="0">C47*D47</x:f>
        <x:v>176</x:v>
      </x:c>
      <x:c r="F47" s="16" t="str">
        <x:v>Included</x:v>
      </x:c>
      <x:c r="G47" s="16" t="str">
        <x:v>Four selected contacts</x:v>
      </x:c>
    </x:row>
    <x:row r="48" ht="16.799999237060547" hidden="0" customHeight="1">
      <x:c r="A48" s="16" t="str">
        <x:v>E-01</x:v>
      </x:c>
      <x:c r="B48" s="16" t="str">
        <x:v>RGB-CTRL</x:v>
      </x:c>
      <x:c r="C48" s="16" t="n">
        <x:v>2</x:v>
      </x:c>
      <x:c r="D48" s="20" t="n">
        <x:f>IFERROR(VLOOKUP(B48,'03_SKU_Master'!$A$2:$G$200,4,FALSE),0)</x:f>
        <x:v>100</x:v>
      </x:c>
      <x:c r="E48" s="20" t="n">
        <x:f t="shared" si="0">C48*D48</x:f>
        <x:v>200</x:v>
      </x:c>
      <x:c r="F48" s="16" t="str">
        <x:v>Included</x:v>
      </x:c>
      <x:c r="G48" s="16" t="str">
        <x:v>Two zones</x:v>
      </x:c>
    </x:row>
    <x:row r="49" ht="16.799999237060547" hidden="0" customHeight="1">
      <x:c r="A49" s="16" t="str">
        <x:v>E-01</x:v>
      </x:c>
      <x:c r="B49" s="16" t="str">
        <x:v>PSU-24-76</x:v>
      </x:c>
      <x:c r="C49" s="16" t="n">
        <x:v>2</x:v>
      </x:c>
      <x:c r="D49" s="20" t="n">
        <x:f>IFERROR(VLOOKUP(B49,'03_SKU_Master'!$A$2:$G$200,4,FALSE),0)</x:f>
        <x:v>40.16</x:v>
      </x:c>
      <x:c r="E49" s="20" t="n">
        <x:f t="shared" si="0">C49*D49</x:f>
        <x:v>80.32</x:v>
      </x:c>
      <x:c r="F49" s="16" t="str">
        <x:v>Included</x:v>
      </x:c>
      <x:c r="G49" s="16" t="str">
        <x:v>One per zone</x:v>
      </x:c>
    </x:row>
    <x:row r="50" ht="16.799999237060547" hidden="0" customHeight="1">
      <x:c r="A50" s="16" t="str">
        <x:v>E-01</x:v>
      </x:c>
      <x:c r="B50" s="16" t="str">
        <x:v>RGB-STRIP-5</x:v>
      </x:c>
      <x:c r="C50" s="16" t="n">
        <x:v>2</x:v>
      </x:c>
      <x:c r="D50" s="20" t="n">
        <x:f>IFERROR(VLOOKUP(B50,'03_SKU_Master'!$A$2:$G$200,4,FALSE),0)</x:f>
        <x:v>15</x:v>
      </x:c>
      <x:c r="E50" s="20" t="n">
        <x:f t="shared" si="0">C50*D50</x:f>
        <x:v>30</x:v>
      </x:c>
      <x:c r="F50" s="16" t="str">
        <x:v>Included</x:v>
      </x:c>
      <x:c r="G50" s="16" t="str">
        <x:v>Total 10m</x:v>
      </x:c>
    </x:row>
    <x:row r="51" ht="16.799999237060547" hidden="0" customHeight="1">
      <x:c r="A51" s="16" t="str">
        <x:v>E-01</x:v>
      </x:c>
      <x:c r="B51" s="16" t="str">
        <x:v>COLOR-BULB</x:v>
      </x:c>
      <x:c r="C51" s="16" t="n">
        <x:v>2</x:v>
      </x:c>
      <x:c r="D51" s="20" t="n">
        <x:f>IFERROR(VLOOKUP(B51,'03_SKU_Master'!$A$2:$G$200,4,FALSE),0)</x:f>
        <x:v>30</x:v>
      </x:c>
      <x:c r="E51" s="20" t="n">
        <x:f t="shared" si="0">C51*D51</x:f>
        <x:v>60</x:v>
      </x:c>
      <x:c r="F51" s="16" t="str">
        <x:v>Included</x:v>
      </x:c>
      <x:c r="G51" s="16" t="str">
        <x:v>Two bulbs</x:v>
      </x:c>
    </x:row>
    <x:row r="52" ht="16.799999237060547" hidden="0" customHeight="1">
      <x:c r="A52" s="16" t="str">
        <x:v>E-02</x:v>
      </x:c>
      <x:c r="B52" s="16" t="str">
        <x:v>AC-CTRL</x:v>
      </x:c>
      <x:c r="C52" s="16" t="n">
        <x:v>1</x:v>
      </x:c>
      <x:c r="D52" s="20" t="n">
        <x:f>IFERROR(VLOOKUP(B52,'03_SKU_Master'!$A$2:$G$200,4,FALSE),0)</x:f>
        <x:v>260</x:v>
      </x:c>
      <x:c r="E52" s="20" t="n">
        <x:f t="shared" si="0">C52*D52</x:f>
        <x:v>260</x:v>
      </x:c>
      <x:c r="F52" s="16" t="str">
        <x:v>Included</x:v>
      </x:c>
      <x:c r="G52" s="16" t="str">
        <x:v>HVAC control</x:v>
      </x:c>
    </x:row>
    <x:row r="53" ht="16.799999237060547" hidden="0" customHeight="1">
      <x:c r="A53" s="16" t="str">
        <x:v>E-02</x:v>
      </x:c>
      <x:c r="B53" s="16" t="str">
        <x:v>ZONE-CTRL</x:v>
      </x:c>
      <x:c r="C53" s="16" t="n">
        <x:v>1</x:v>
      </x:c>
      <x:c r="D53" s="20" t="n">
        <x:f>IFERROR(VLOOKUP(B53,'03_SKU_Master'!$A$2:$G$200,4,FALSE),0)</x:f>
        <x:v>300</x:v>
      </x:c>
      <x:c r="E53" s="20" t="n">
        <x:f t="shared" si="0">C53*D53</x:f>
        <x:v>300</x:v>
      </x:c>
      <x:c r="F53" s="16" t="str">
        <x:v>Included</x:v>
      </x:c>
      <x:c r="G53" s="16" t="str">
        <x:v>Up to six zones</x:v>
      </x:c>
    </x:row>
    <x:row r="54" ht="16.799999237060547" hidden="0" customHeight="1">
      <x:c r="A54" s="16" t="str">
        <x:v>E-02</x:v>
      </x:c>
      <x:c r="B54" s="16" t="str">
        <x:v>CLIMATE-ACC</x:v>
      </x:c>
      <x:c r="C54" s="16" t="n">
        <x:v>1</x:v>
      </x:c>
      <x:c r="D54" s="20" t="n">
        <x:f>IFERROR(VLOOKUP(B54,'03_SKU_Master'!$A$2:$G$200,4,FALSE),0)</x:f>
        <x:v>140</x:v>
      </x:c>
      <x:c r="E54" s="20" t="n">
        <x:f t="shared" si="0">C54*D54</x:f>
        <x:v>140</x:v>
      </x:c>
      <x:c r="F54" s="16" t="str">
        <x:v>Included</x:v>
      </x:c>
      <x:c r="G54" s="16" t="str">
        <x:v>Accessories</x:v>
      </x:c>
    </x:row>
    <x:row r="55" ht="16.799999237060547" hidden="0" customHeight="1">
      <x:c r="A55" s="16" t="str">
        <x:v>E-03</x:v>
      </x:c>
      <x:c r="B55" s="16" t="str">
        <x:v>HEALTH-SENSOR</x:v>
      </x:c>
      <x:c r="C55" s="16" t="n">
        <x:v>1</x:v>
      </x:c>
      <x:c r="D55" s="20" t="n">
        <x:f>IFERROR(VLOOKUP(B55,'03_SKU_Master'!$A$2:$G$200,4,FALSE),0)</x:f>
        <x:v>319</x:v>
      </x:c>
      <x:c r="E55" s="20" t="n">
        <x:f t="shared" si="0">C55*D55</x:f>
        <x:v>319</x:v>
      </x:c>
      <x:c r="F55" s="16" t="str">
        <x:v>Included</x:v>
      </x:c>
      <x:c r="G55" s="16" t="str">
        <x:v>Air sensing</x:v>
      </x:c>
    </x:row>
    <x:row r="56" ht="16.799999237060547" hidden="0" customHeight="1">
      <x:c r="A56" s="16" t="str">
        <x:v>E-03</x:v>
      </x:c>
      <x:c r="B56" s="16" t="str">
        <x:v>FAN-150</x:v>
      </x:c>
      <x:c r="C56" s="16" t="n">
        <x:v>2</x:v>
      </x:c>
      <x:c r="D56" s="20" t="n">
        <x:f>IFERROR(VLOOKUP(B56,'03_SKU_Master'!$A$2:$G$200,4,FALSE),0)</x:f>
        <x:v>197</x:v>
      </x:c>
      <x:c r="E56" s="20" t="n">
        <x:f t="shared" si="0">C56*D56</x:f>
        <x:v>394</x:v>
      </x:c>
      <x:c r="F56" s="16" t="str">
        <x:v>Included</x:v>
      </x:c>
      <x:c r="G56" s="16" t="str">
        <x:v>Conservative Living/Kitchen BOM</x:v>
      </x:c>
    </x:row>
    <x:row r="57" ht="16.799999237060547" hidden="0" customHeight="1">
      <x:c r="A57" s="16" t="str">
        <x:v>E-03</x:v>
      </x:c>
      <x:c r="B57" s="16" t="str">
        <x:v>DUCT-6M</x:v>
      </x:c>
      <x:c r="C57" s="16" t="n">
        <x:v>2</x:v>
      </x:c>
      <x:c r="D57" s="20" t="n">
        <x:f>IFERROR(VLOOKUP(B57,'03_SKU_Master'!$A$2:$G$200,4,FALSE),0)</x:f>
        <x:v>11</x:v>
      </x:c>
      <x:c r="E57" s="20" t="n">
        <x:f t="shared" si="0">C57*D57</x:f>
        <x:v>22</x:v>
      </x:c>
      <x:c r="F57" s="16" t="str">
        <x:v>Included</x:v>
      </x:c>
      <x:c r="G57" s="16" t="str">
        <x:v>12m total</x:v>
      </x:c>
    </x:row>
    <x:row r="58" ht="16.799999237060547" hidden="0" customHeight="1">
      <x:c r="A58" s="16" t="str">
        <x:v>E-03</x:v>
      </x:c>
      <x:c r="B58" s="16" t="str">
        <x:v>GRILLE-150</x:v>
      </x:c>
      <x:c r="C58" s="16" t="n">
        <x:v>4</x:v>
      </x:c>
      <x:c r="D58" s="20" t="n">
        <x:f>IFERROR(VLOOKUP(B58,'03_SKU_Master'!$A$2:$G$200,4,FALSE),0)</x:f>
        <x:v>3</x:v>
      </x:c>
      <x:c r="E58" s="20" t="n">
        <x:f t="shared" si="0">C58*D58</x:f>
        <x:v>12</x:v>
      </x:c>
      <x:c r="F58" s="16" t="str">
        <x:v>Included</x:v>
      </x:c>
      <x:c r="G58" s="16" t="str">
        <x:v>Four grilles</x:v>
      </x:c>
    </x:row>
    <x:row r="59" ht="16.799999237060547" hidden="0" customHeight="1">
      <x:c r="A59" s="16" t="str">
        <x:v>E-03</x:v>
      </x:c>
      <x:c r="B59" s="16" t="str">
        <x:v>AIR-CONTROL</x:v>
      </x:c>
      <x:c r="C59" s="16" t="n">
        <x:v>1</x:v>
      </x:c>
      <x:c r="D59" s="20" t="n">
        <x:f>IFERROR(VLOOKUP(B59,'03_SKU_Master'!$A$2:$G$200,4,FALSE),0)</x:f>
        <x:v>300</x:v>
      </x:c>
      <x:c r="E59" s="20" t="n">
        <x:f t="shared" si="0">C59*D59</x:f>
        <x:v>300</x:v>
      </x:c>
      <x:c r="F59" s="16" t="str">
        <x:v>Included</x:v>
      </x:c>
      <x:c r="G59" s="16" t="str">
        <x:v>Fan controls</x:v>
      </x:c>
    </x:row>
    <x:row r="60" ht="16.799999237060547" hidden="0" customHeight="1">
      <x:c r="A60" s="16" t="str">
        <x:v>E-04</x:v>
      </x:c>
      <x:c r="B60" s="16" t="str">
        <x:v>GARDEN-RELAY</x:v>
      </x:c>
      <x:c r="C60" s="16" t="n">
        <x:v>2</x:v>
      </x:c>
      <x:c r="D60" s="20" t="n">
        <x:f>IFERROR(VLOOKUP(B60,'03_SKU_Master'!$A$2:$G$200,4,FALSE),0)</x:f>
        <x:v>300</x:v>
      </x:c>
      <x:c r="E60" s="20" t="n">
        <x:f t="shared" si="0">C60*D60</x:f>
        <x:v>600</x:v>
      </x:c>
      <x:c r="F60" s="16" t="str">
        <x:v>Included</x:v>
      </x:c>
      <x:c r="G60" s="16" t="str">
        <x:v>Front and rear</x:v>
      </x:c>
    </x:row>
    <x:row r="61" ht="16.799999237060547" hidden="0" customHeight="1">
      <x:c r="A61" s="16" t="str">
        <x:v>E-04</x:v>
      </x:c>
      <x:c r="B61" s="16" t="str">
        <x:v>PSU-24-120</x:v>
      </x:c>
      <x:c r="C61" s="16" t="n">
        <x:v>1</x:v>
      </x:c>
      <x:c r="D61" s="20" t="n">
        <x:f>IFERROR(VLOOKUP(B61,'03_SKU_Master'!$A$2:$G$200,4,FALSE),0)</x:f>
        <x:v>61.15</x:v>
      </x:c>
      <x:c r="E61" s="20" t="n">
        <x:f t="shared" si="0">C61*D61</x:f>
        <x:v>61.15</x:v>
      </x:c>
      <x:c r="F61" s="16" t="str">
        <x:v>Included</x:v>
      </x:c>
      <x:c r="G61" s="16" t="str">
        <x:v>Valve power interface</x:v>
      </x:c>
    </x:row>
    <x:row r="62" ht="16.799999237060547" hidden="0" customHeight="1">
      <x:c r="A62" s="16" t="str">
        <x:v>E-04</x:v>
      </x:c>
      <x:c r="B62" s="16" t="str">
        <x:v>GARDEN-BOX</x:v>
      </x:c>
      <x:c r="C62" s="16" t="n">
        <x:v>2</x:v>
      </x:c>
      <x:c r="D62" s="20" t="n">
        <x:f>IFERROR(VLOOKUP(B62,'03_SKU_Master'!$A$2:$G$200,4,FALSE),0)</x:f>
        <x:v>100</x:v>
      </x:c>
      <x:c r="E62" s="20" t="n">
        <x:f t="shared" si="0">C62*D62</x:f>
        <x:v>200</x:v>
      </x:c>
      <x:c r="F62" s="16" t="str">
        <x:v>Included</x:v>
      </x:c>
      <x:c r="G62" s="16" t="str">
        <x:v>Front and rear</x:v>
      </x:c>
    </x:row>
    <x:row r="63" ht="16.799999237060547" hidden="0" customHeight="1">
      <x:c r="A63" s="16" t="str">
        <x:v>E-04</x:v>
      </x:c>
      <x:c r="B63" s="16" t="str">
        <x:v>GARDEN-CABLE</x:v>
      </x:c>
      <x:c r="C63" s="16" t="n">
        <x:v>1</x:v>
      </x:c>
      <x:c r="D63" s="20" t="n">
        <x:f>IFERROR(VLOOKUP(B63,'03_SKU_Master'!$A$2:$G$200,4,FALSE),0)</x:f>
        <x:v>100</x:v>
      </x:c>
      <x:c r="E63" s="20" t="n">
        <x:f t="shared" si="0">C63*D63</x:f>
        <x:v>100</x:v>
      </x:c>
      <x:c r="F63" s="16" t="str">
        <x:v>Included</x:v>
      </x:c>
      <x:c r="G63" s="16" t="str">
        <x:v>Allowance</x:v>
      </x:c>
    </x:row>
    <x:row r="64" ht="16.799999237060547" hidden="0" customHeight="1">
      <x:c r="A64" s="16" t="str">
        <x:v>E-06</x:v>
      </x:c>
      <x:c r="B64" s="16" t="str">
        <x:v>NVR-8-4TB</x:v>
      </x:c>
      <x:c r="C64" s="16" t="n">
        <x:v>1</x:v>
      </x:c>
      <x:c r="D64" s="20" t="n">
        <x:f>IFERROR(VLOOKUP(B64,'03_SKU_Master'!$A$2:$G$200,4,FALSE),0)</x:f>
        <x:v>1122.8</x:v>
      </x:c>
      <x:c r="E64" s="20" t="n">
        <x:f t="shared" si="0">C64*D64</x:f>
        <x:v>1122.8</x:v>
      </x:c>
      <x:c r="F64" s="16" t="str">
        <x:v>Included</x:v>
      </x:c>
      <x:c r="G64" s="16" t="str">
        <x:v>8-channel VPro NVR</x:v>
      </x:c>
    </x:row>
    <x:row r="65" ht="16.799999237060547" hidden="0" customHeight="1">
      <x:c r="A65" s="16" t="str">
        <x:v>E-06</x:v>
      </x:c>
      <x:c r="B65" s="16" t="str">
        <x:v>CAM-8MP</x:v>
      </x:c>
      <x:c r="C65" s="16" t="n">
        <x:v>4</x:v>
      </x:c>
      <x:c r="D65" s="20" t="n">
        <x:f>IFERROR(VLOOKUP(B65,'03_SKU_Master'!$A$2:$G$200,4,FALSE),0)</x:f>
        <x:v>150</x:v>
      </x:c>
      <x:c r="E65" s="20" t="n">
        <x:f t="shared" si="0">C65*D65</x:f>
        <x:v>600</x:v>
      </x:c>
      <x:c r="F65" s="16" t="str">
        <x:v>Included</x:v>
      </x:c>
      <x:c r="G65" s="16" t="str">
        <x:v>Four cameras</x:v>
      </x:c>
    </x:row>
    <x:row r="66" ht="16.799999237060547" hidden="0" customHeight="1">
      <x:c r="A66" s="16" t="str">
        <x:v>E-06</x:v>
      </x:c>
      <x:c r="B66" s="16" t="str">
        <x:v>DIG-IN-4</x:v>
      </x:c>
      <x:c r="C66" s="16" t="n">
        <x:v>1</x:v>
      </x:c>
      <x:c r="D66" s="20" t="n">
        <x:f>IFERROR(VLOOKUP(B66,'03_SKU_Master'!$A$2:$G$200,4,FALSE),0)</x:f>
        <x:v>40</x:v>
      </x:c>
      <x:c r="E66" s="20" t="n">
        <x:f t="shared" ref="E66:E99" si="1">C66*D66</x:f>
        <x:v>40</x:v>
      </x:c>
      <x:c r="F66" s="16" t="str">
        <x:v>Included</x:v>
      </x:c>
      <x:c r="G66" s="16" t="str">
        <x:v>Event interface</x:v>
      </x:c>
    </x:row>
    <x:row r="67" ht="16.799999237060547" hidden="0" customHeight="1">
      <x:c r="A67" s="16" t="str">
        <x:v>E-06</x:v>
      </x:c>
      <x:c r="B67" s="16" t="str">
        <x:v>CCTV-CABLE</x:v>
      </x:c>
      <x:c r="C67" s="16" t="n">
        <x:v>1</x:v>
      </x:c>
      <x:c r="D67" s="20" t="n">
        <x:f>IFERROR(VLOOKUP(B67,'03_SKU_Master'!$A$2:$G$200,4,FALSE),0)</x:f>
        <x:v>200</x:v>
      </x:c>
      <x:c r="E67" s="20" t="n">
        <x:f t="shared" si="1">C67*D67</x:f>
        <x:v>200</x:v>
      </x:c>
      <x:c r="F67" s="16" t="str">
        <x:v>Included</x:v>
      </x:c>
      <x:c r="G67" s="16" t="str">
        <x:v>Cabling allowance</x:v>
      </x:c>
    </x:row>
    <x:row r="68" ht="16.799999237060547" hidden="0" customHeight="1">
      <x:c r="A68" s="16" t="str">
        <x:v>E-07</x:v>
      </x:c>
      <x:c r="B68" s="16" t="str">
        <x:v>SMART-TOILET</x:v>
      </x:c>
      <x:c r="C68" s="16" t="n">
        <x:v>1</x:v>
      </x:c>
      <x:c r="D68" s="20" t="n">
        <x:f>IFERROR(VLOOKUP(B68,'03_SKU_Master'!$A$2:$G$200,4,FALSE),0)</x:f>
        <x:v>1800</x:v>
      </x:c>
      <x:c r="E68" s="20" t="n">
        <x:f t="shared" si="1">C68*D68</x:f>
        <x:v>1800</x:v>
      </x:c>
      <x:c r="F68" s="16" t="str">
        <x:v>Included</x:v>
      </x:c>
      <x:c r="G68" s="16" t="str">
        <x:v>Supply only</x:v>
      </x:c>
    </x:row>
    <x:row r="69">
      <x:c r="D69" s="10"/>
      <x:c r="E69" s="10">
        <x:f t="shared" si="1"/>
      </x:c>
    </x:row>
    <x:row r="70">
      <x:c r="D70" s="10"/>
      <x:c r="E70" s="10">
        <x:f t="shared" si="1"/>
      </x:c>
    </x:row>
    <x:row r="71">
      <x:c r="D71" s="10"/>
      <x:c r="E71" s="10">
        <x:f t="shared" si="1"/>
      </x:c>
    </x:row>
    <x:row r="72">
      <x:c r="D72" s="10"/>
      <x:c r="E72" s="10">
        <x:f t="shared" si="1"/>
      </x:c>
    </x:row>
    <x:row r="73">
      <x:c r="D73" s="10"/>
      <x:c r="E73" s="10">
        <x:f t="shared" si="1"/>
      </x:c>
    </x:row>
    <x:row r="74">
      <x:c r="D74" s="10"/>
      <x:c r="E74" s="10">
        <x:f t="shared" si="1"/>
      </x:c>
    </x:row>
    <x:row r="75">
      <x:c r="D75" s="10"/>
      <x:c r="E75" s="10">
        <x:f t="shared" si="1"/>
      </x:c>
    </x:row>
    <x:row r="76">
      <x:c r="D76" s="10"/>
      <x:c r="E76" s="10">
        <x:f t="shared" si="1"/>
      </x:c>
    </x:row>
    <x:row r="77">
      <x:c r="D77" s="10"/>
      <x:c r="E77" s="10">
        <x:f t="shared" si="1"/>
      </x:c>
    </x:row>
    <x:row r="78">
      <x:c r="D78" s="10"/>
      <x:c r="E78" s="10">
        <x:f t="shared" si="1"/>
      </x:c>
    </x:row>
    <x:row r="79">
      <x:c r="D79" s="10"/>
      <x:c r="E79" s="10">
        <x:f t="shared" si="1"/>
      </x:c>
    </x:row>
    <x:row r="80">
      <x:c r="D80" s="10"/>
      <x:c r="E80" s="10">
        <x:f t="shared" si="1"/>
      </x:c>
    </x:row>
    <x:row r="81">
      <x:c r="D81" s="10"/>
      <x:c r="E81" s="10">
        <x:f t="shared" si="1"/>
      </x:c>
    </x:row>
    <x:row r="82">
      <x:c r="D82" s="10"/>
      <x:c r="E82" s="10">
        <x:f t="shared" si="1"/>
      </x:c>
    </x:row>
    <x:row r="83">
      <x:c r="D83" s="10"/>
      <x:c r="E83" s="10">
        <x:f t="shared" si="1"/>
      </x:c>
    </x:row>
    <x:row r="84">
      <x:c r="D84" s="10"/>
      <x:c r="E84" s="10">
        <x:f t="shared" si="1"/>
      </x:c>
    </x:row>
    <x:row r="85">
      <x:c r="D85" s="10"/>
      <x:c r="E85" s="10">
        <x:f t="shared" si="1"/>
      </x:c>
    </x:row>
    <x:row r="86">
      <x:c r="D86" s="10"/>
      <x:c r="E86" s="10">
        <x:f t="shared" si="1"/>
      </x:c>
    </x:row>
    <x:row r="87">
      <x:c r="D87" s="10"/>
      <x:c r="E87" s="10">
        <x:f t="shared" si="1"/>
      </x:c>
    </x:row>
    <x:row r="88">
      <x:c r="D88" s="10"/>
      <x:c r="E88" s="10">
        <x:f t="shared" si="1"/>
      </x:c>
    </x:row>
    <x:row r="89">
      <x:c r="D89" s="10"/>
      <x:c r="E89" s="10">
        <x:f t="shared" si="1"/>
      </x:c>
    </x:row>
    <x:row r="90">
      <x:c r="A90"/>
      <x:c r="C90"/>
      <x:c r="D90" s="10"/>
      <x:c r="E90" s="10">
        <x:f t="shared" si="1"/>
      </x:c>
      <x:c r="F90"/>
      <x:c r="G90"/>
    </x:row>
    <x:row r="91">
      <x:c r="A91"/>
      <x:c r="B91"/>
      <x:c r="C91"/>
      <x:c r="D91" s="10"/>
      <x:c r="E91" s="10">
        <x:f t="shared" si="1"/>
      </x:c>
      <x:c r="F91"/>
      <x:c r="G91"/>
    </x:row>
    <x:row r="92">
      <x:c r="A92"/>
      <x:c r="C92"/>
      <x:c r="D92" s="10"/>
      <x:c r="E92" s="10">
        <x:f t="shared" si="1"/>
      </x:c>
      <x:c r="F92"/>
      <x:c r="G92"/>
    </x:row>
    <x:row r="93">
      <x:c r="D93" s="10"/>
      <x:c r="E93" s="10">
        <x:f t="shared" si="1"/>
      </x:c>
    </x:row>
    <x:row r="94">
      <x:c r="D94" s="10"/>
      <x:c r="E94" s="10">
        <x:f t="shared" si="1"/>
      </x:c>
    </x:row>
    <x:row r="95">
      <x:c r="D95" s="10"/>
      <x:c r="E95" s="10">
        <x:f t="shared" si="1"/>
      </x:c>
    </x:row>
    <x:row r="96">
      <x:c r="D96" s="10"/>
      <x:c r="E96" s="10">
        <x:f t="shared" si="1"/>
      </x:c>
    </x:row>
    <x:row r="97">
      <x:c r="D97" s="10"/>
      <x:c r="E97" s="10">
        <x:f t="shared" si="1"/>
      </x:c>
    </x:row>
    <x:row r="98">
      <x:c r="D98" s="10"/>
      <x:c r="E98" s="10">
        <x:f t="shared" si="1"/>
      </x:c>
    </x:row>
    <x:row r="99">
      <x:c r="D99" s="10"/>
      <x:c r="E99" s="10">
        <x:f t="shared" si="1"/>
      </x:c>
    </x:row>
    <x:row r="100">
      <x:c r="D100" s="10"/>
      <x:c r="E100" s="10"/>
    </x:row>
  </x:sheetData>
  <x:pageMargins left="0.7" right="0.7" top="0.75" bottom="0.75" header="0.3" footer="0.3"/>
  <x:tableParts count="1">
    <x:tablePart xmlns:r="http://schemas.openxmlformats.org/officeDocument/2006/relationships" r:id="Re9b6eb3ebc1b4bb4"/>
  </x:tableParts>
</x:worksheet>
</file>

<file path=xl/worksheets/sheet9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36" customWidth="1"/>
    <x:col min="3" max="3" width="10" customWidth="1"/>
    <x:col min="4" max="5" width="12" customWidth="1"/>
    <x:col min="6" max="7" width="14" customWidth="1"/>
    <x:col min="8" max="8" width="42" customWidth="1"/>
  </x:cols>
  <x:sheetData>
    <x:row r="1" ht="16.799999237060547" hidden="0" customHeight="1">
      <x:c r="A1" s="17" t="str">
        <x:v>Product ID</x:v>
      </x:c>
      <x:c r="B1" s="17" t="str">
        <x:v>Labour Item</x:v>
      </x:c>
      <x:c r="C1" s="17" t="str">
        <x:v>Qty</x:v>
      </x:c>
      <x:c r="D1" s="17" t="str">
        <x:v>Hours Each</x:v>
      </x:c>
      <x:c r="E1" s="17" t="str">
        <x:v>Total Hours</x:v>
      </x:c>
      <x:c r="F1" s="17" t="str">
        <x:v>Loaded Rate</x:v>
      </x:c>
      <x:c r="G1" s="17" t="str">
        <x:v>Labour Cost</x:v>
      </x:c>
      <x:c r="H1" s="17" t="str">
        <x:v>Notes</x:v>
      </x:c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Foundation Infrastructure Installation</x:v>
      </x:c>
      <x:c r="C2" s="16" t="n">
        <x:v>1</x:v>
      </x:c>
      <x:c r="D2" s="18" t="n">
        <x:f>IFERROR(VLOOKUP(B2,'02_Labour_Library'!$A$2:$D$100,2,FALSE),0)</x:f>
        <x:v>6</x:v>
      </x:c>
      <x:c r="E2" s="18" t="n">
        <x:f t="shared" ref="E2:E65" si="0">C2*D2</x:f>
        <x:v>6</x:v>
      </x:c>
      <x:c r="F2" s="20" t="n">
        <x:f>'01_Settings'!$B$6</x:f>
        <x:v>82.5</x:v>
      </x:c>
      <x:c r="G2" s="20" t="n">
        <x:f t="shared" ref="G2:G65" si="1">E2*F2</x:f>
        <x:v>495</x:v>
      </x:c>
      <x:c r="H2" s="16" t="str">
        <x:v>Standard</x:v>
      </x:c>
    </x:row>
    <x:row r="3" ht="16.799999237060547" hidden="0" customHeight="1">
      <x:c r="A3" s="16" t="str">
        <x:v>F-01</x:v>
      </x:c>
      <x:c r="B3" s="16" t="str">
        <x:v>Foundation Programming</x:v>
      </x:c>
      <x:c r="C3" s="16" t="n">
        <x:v>1</x:v>
      </x:c>
      <x:c r="D3" s="18" t="n">
        <x:f>IFERROR(VLOOKUP(B3,'02_Labour_Library'!$A$2:$D$100,2,FALSE),0)</x:f>
        <x:v>3</x:v>
      </x:c>
      <x:c r="E3" s="18" t="n">
        <x:f t="shared" si="0">C3*D3</x:f>
        <x:v>3</x:v>
      </x:c>
      <x:c r="F3" s="20" t="n">
        <x:f>'01_Settings'!$B$6</x:f>
        <x:v>82.5</x:v>
      </x:c>
      <x:c r="G3" s="20" t="n">
        <x:f t="shared" si="1">E3*F3</x:f>
        <x:v>247.5</x:v>
      </x:c>
      <x:c r="H3" s="16" t="str">
        <x:v>Standard</x:v>
      </x:c>
    </x:row>
    <x:row r="4" ht="16.799999237060547" hidden="0" customHeight="1">
      <x:c r="A4" s="16" t="str">
        <x:v>F-01</x:v>
      </x:c>
      <x:c r="B4" s="16" t="str">
        <x:v>Testing</x:v>
      </x:c>
      <x:c r="C4" s="16" t="n">
        <x:v>1</x:v>
      </x:c>
      <x:c r="D4" s="18" t="n">
        <x:f>IFERROR(VLOOKUP(B4,'02_Labour_Library'!$A$2:$D$100,2,FALSE),0)</x:f>
        <x:v>0.5</x:v>
      </x:c>
      <x:c r="E4" s="18" t="n">
        <x:f t="shared" si="0">C4*D4</x:f>
        <x:v>0.5</x:v>
      </x:c>
      <x:c r="F4" s="20" t="n">
        <x:f>'01_Settings'!$B$6</x:f>
        <x:v>82.5</x:v>
      </x:c>
      <x:c r="G4" s="20" t="n">
        <x:f t="shared" si="1">E4*F4</x:f>
        <x:v>41.25</x:v>
      </x:c>
      <x:c r="H4" s="16" t="str">
        <x:v>Standard</x:v>
      </x:c>
    </x:row>
    <x:row r="5" ht="16.799999237060547" hidden="0" customHeight="1">
      <x:c r="A5" s="16" t="str">
        <x:v>F-01</x:v>
      </x:c>
      <x:c r="B5" s="16" t="str">
        <x:v>Customer Training</x:v>
      </x:c>
      <x:c r="C5" s="16" t="n">
        <x:v>1</x:v>
      </x:c>
      <x:c r="D5" s="18" t="n">
        <x:f>IFERROR(VLOOKUP(B5,'02_Labour_Library'!$A$2:$D$100,2,FALSE),0)</x:f>
        <x:v>0.5</x:v>
      </x:c>
      <x:c r="E5" s="18" t="n">
        <x:f t="shared" si="0">C5*D5</x:f>
        <x:v>0.5</x:v>
      </x:c>
      <x:c r="F5" s="20" t="n">
        <x:f>'01_Settings'!$B$6</x:f>
        <x:v>82.5</x:v>
      </x:c>
      <x:c r="G5" s="20" t="n">
        <x:f t="shared" si="1">E5*F5</x:f>
        <x:v>41.25</x:v>
      </x:c>
      <x:c r="H5" s="16" t="str">
        <x:v>Standard</x:v>
      </x:c>
    </x:row>
    <x:row r="6" ht="16.799999237060547" hidden="0" customHeight="1">
      <x:c r="A6" s="16" t="str">
        <x:v>C-01</x:v>
      </x:c>
      <x:c r="B6" s="16" t="str">
        <x:v>Install Zigbee Switch</x:v>
      </x:c>
      <x:c r="C6" s="16" t="n">
        <x:v>1</x:v>
      </x:c>
      <x:c r="D6" s="18" t="n">
        <x:f>IFERROR(VLOOKUP(B6,'02_Labour_Library'!$A$2:$D$100,2,FALSE),0)</x:f>
        <x:v>0.25</x:v>
      </x:c>
      <x:c r="E6" s="18" t="n">
        <x:f t="shared" si="0">C6*D6</x:f>
        <x:v>0.25</x:v>
      </x:c>
      <x:c r="F6" s="20" t="n">
        <x:f>'01_Settings'!$B$6</x:f>
        <x:v>82.5</x:v>
      </x:c>
      <x:c r="G6" s="20" t="n">
        <x:f t="shared" si="1">E6*F6</x:f>
        <x:v>20.625</x:v>
      </x:c>
      <x:c r="H6" s="16" t="str">
        <x:v>Standard</x:v>
      </x:c>
    </x:row>
    <x:row r="7" ht="16.799999237060547" hidden="0" customHeight="1">
      <x:c r="A7" s="16" t="str">
        <x:v>C-01</x:v>
      </x:c>
      <x:c r="B7" s="16" t="str">
        <x:v>Install Smart Lock</x:v>
      </x:c>
      <x:c r="C7" s="16" t="n">
        <x:v>1</x:v>
      </x:c>
      <x:c r="D7" s="18" t="n">
        <x:f>IFERROR(VLOOKUP(B7,'02_Labour_Library'!$A$2:$D$100,2,FALSE),0)</x:f>
        <x:v>0.75</x:v>
      </x:c>
      <x:c r="E7" s="18" t="n">
        <x:f t="shared" si="0">C7*D7</x:f>
        <x:v>0.75</x:v>
      </x:c>
      <x:c r="F7" s="20" t="n">
        <x:f>'01_Settings'!$B$6</x:f>
        <x:v>82.5</x:v>
      </x:c>
      <x:c r="G7" s="20" t="n">
        <x:f t="shared" si="1">E7*F7</x:f>
        <x:v>61.875</x:v>
      </x:c>
      <x:c r="H7" s="16" t="str">
        <x:v>Standard</x:v>
      </x:c>
    </x:row>
    <x:row r="8" ht="16.799999237060547" hidden="0" customHeight="1">
      <x:c r="A8" s="16" t="str">
        <x:v>C-01</x:v>
      </x:c>
      <x:c r="B8" s="16" t="str">
        <x:v>Install Wireless Video Doorbell</x:v>
      </x:c>
      <x:c r="C8" s="16" t="n">
        <x:v>1</x:v>
      </x:c>
      <x:c r="D8" s="18" t="n">
        <x:f>IFERROR(VLOOKUP(B8,'02_Labour_Library'!$A$2:$D$100,2,FALSE),0)</x:f>
        <x:v>0.33</x:v>
      </x:c>
      <x:c r="E8" s="18" t="n">
        <x:f t="shared" si="0">C8*D8</x:f>
        <x:v>0.33</x:v>
      </x:c>
      <x:c r="F8" s="20" t="n">
        <x:f>'01_Settings'!$B$6</x:f>
        <x:v>82.5</x:v>
      </x:c>
      <x:c r="G8" s="20" t="n">
        <x:f t="shared" si="1">E8*F8</x:f>
        <x:v>27.225</x:v>
      </x:c>
      <x:c r="H8" s="16" t="str">
        <x:v>Standard</x:v>
      </x:c>
    </x:row>
    <x:row r="9" ht="16.799999237060547" hidden="0" customHeight="1">
      <x:c r="A9" s="16" t="str">
        <x:v>C-01</x:v>
      </x:c>
      <x:c r="B9" s="16" t="str">
        <x:v>Install Outdoor PIR</x:v>
      </x:c>
      <x:c r="C9" s="16" t="n">
        <x:v>1</x:v>
      </x:c>
      <x:c r="D9" s="18" t="n">
        <x:f>IFERROR(VLOOKUP(B9,'02_Labour_Library'!$A$2:$D$100,2,FALSE),0)</x:f>
        <x:v>0.5</x:v>
      </x:c>
      <x:c r="E9" s="18" t="n">
        <x:f t="shared" si="0">C9*D9</x:f>
        <x:v>0.5</x:v>
      </x:c>
      <x:c r="F9" s="20" t="n">
        <x:f>'01_Settings'!$B$6</x:f>
        <x:v>82.5</x:v>
      </x:c>
      <x:c r="G9" s="20" t="n">
        <x:f t="shared" si="1">E9*F9</x:f>
        <x:v>41.25</x:v>
      </x:c>
      <x:c r="H9" s="16" t="str">
        <x:v>Standard</x:v>
      </x:c>
    </x:row>
    <x:row r="10" ht="16.799999237060547" hidden="0" customHeight="1">
      <x:c r="A10" s="16" t="str">
        <x:v>C-01</x:v>
      </x:c>
      <x:c r="B10" s="16" t="str">
        <x:v>Install Occupancy Sensor</x:v>
      </x:c>
      <x:c r="C10" s="16" t="n">
        <x:v>1</x:v>
      </x:c>
      <x:c r="D10" s="18" t="n">
        <x:f>IFERROR(VLOOKUP(B10,'02_Labour_Library'!$A$2:$D$100,2,FALSE),0)</x:f>
        <x:v>1</x:v>
      </x:c>
      <x:c r="E10" s="18" t="n">
        <x:f t="shared" si="0">C10*D10</x:f>
        <x:v>1</x:v>
      </x:c>
      <x:c r="F10" s="20" t="n">
        <x:f>'01_Settings'!$B$6</x:f>
        <x:v>82.5</x:v>
      </x:c>
      <x:c r="G10" s="20" t="n">
        <x:f t="shared" si="1">E10*F10</x:f>
        <x:v>82.5</x:v>
      </x:c>
      <x:c r="H10" s="16" t="str">
        <x:v>Standard</x:v>
      </x:c>
    </x:row>
    <x:row r="11" ht="16.799999237060547" hidden="0" customHeight="1">
      <x:c r="A11" s="16" t="str">
        <x:v>C-01</x:v>
      </x:c>
      <x:c r="B11" s="16" t="str">
        <x:v>Install Garage Relay</x:v>
      </x:c>
      <x:c r="C11" s="16" t="n">
        <x:v>1</x:v>
      </x:c>
      <x:c r="D11" s="18" t="n">
        <x:f>IFERROR(VLOOKUP(B11,'02_Labour_Library'!$A$2:$D$100,2,FALSE),0)</x:f>
        <x:v>0.25</x:v>
      </x:c>
      <x:c r="E11" s="18" t="n">
        <x:f t="shared" si="0">C11*D11</x:f>
        <x:v>0.25</x:v>
      </x:c>
      <x:c r="F11" s="20" t="n">
        <x:f>'01_Settings'!$B$6</x:f>
        <x:v>82.5</x:v>
      </x:c>
      <x:c r="G11" s="20" t="n">
        <x:f t="shared" si="1">E11*F11</x:f>
        <x:v>20.625</x:v>
      </x:c>
      <x:c r="H11" s="16" t="str">
        <x:v>Standard</x:v>
      </x:c>
    </x:row>
    <x:row r="12" ht="16.799999237060547" hidden="0" customHeight="1">
      <x:c r="A12" s="16" t="str">
        <x:v>C-01</x:v>
      </x:c>
      <x:c r="B12" s="16" t="str">
        <x:v>Programming - Collection</x:v>
      </x:c>
      <x:c r="C12" s="16" t="n">
        <x:v>1</x:v>
      </x:c>
      <x:c r="D12" s="18" t="n">
        <x:f>IFERROR(VLOOKUP(B12,'02_Labour_Library'!$A$2:$D$100,2,FALSE),0)</x:f>
        <x:v>1</x:v>
      </x:c>
      <x:c r="E12" s="18" t="n">
        <x:f t="shared" si="0">C12*D12</x:f>
        <x:v>1</x:v>
      </x:c>
      <x:c r="F12" s="20" t="n">
        <x:f>'01_Settings'!$B$6</x:f>
        <x:v>82.5</x:v>
      </x:c>
      <x:c r="G12" s="20" t="n">
        <x:f t="shared" si="1">E12*F12</x:f>
        <x:v>82.5</x:v>
      </x:c>
      <x:c r="H12" s="16" t="str">
        <x:v>Standard</x:v>
      </x:c>
    </x:row>
    <x:row r="13" ht="16.799999237060547" hidden="0" customHeight="1">
      <x:c r="A13" s="16" t="str">
        <x:v>C-01</x:v>
      </x:c>
      <x:c r="B13" s="16" t="str">
        <x:v>Testing</x:v>
      </x:c>
      <x:c r="C13" s="16" t="n">
        <x:v>1</x:v>
      </x:c>
      <x:c r="D13" s="18" t="n">
        <x:f>IFERROR(VLOOKUP(B13,'02_Labour_Library'!$A$2:$D$100,2,FALSE),0)</x:f>
        <x:v>0.5</x:v>
      </x:c>
      <x:c r="E13" s="18" t="n">
        <x:f t="shared" si="0">C13*D13</x:f>
        <x:v>0.5</x:v>
      </x:c>
      <x:c r="F13" s="20" t="n">
        <x:f>'01_Settings'!$B$6</x:f>
        <x:v>82.5</x:v>
      </x:c>
      <x:c r="G13" s="20" t="n">
        <x:f t="shared" si="1">E13*F13</x:f>
        <x:v>41.25</x:v>
      </x:c>
      <x:c r="H13" s="16" t="str">
        <x:v>Standard</x:v>
      </x:c>
    </x:row>
    <x:row r="14" ht="16.799999237060547" hidden="0" customHeight="1">
      <x:c r="A14" s="16" t="str">
        <x:v>C-01</x:v>
      </x:c>
      <x:c r="B14" s="16" t="str">
        <x:v>Customer Training</x:v>
      </x:c>
      <x:c r="C14" s="16" t="n">
        <x:v>1</x:v>
      </x:c>
      <x:c r="D14" s="18" t="n">
        <x:f>IFERROR(VLOOKUP(B14,'02_Labour_Library'!$A$2:$D$100,2,FALSE),0)</x:f>
        <x:v>0.5</x:v>
      </x:c>
      <x:c r="E14" s="18" t="n">
        <x:f t="shared" si="0">C14*D14</x:f>
        <x:v>0.5</x:v>
      </x:c>
      <x:c r="F14" s="20" t="n">
        <x:f>'01_Settings'!$B$6</x:f>
        <x:v>82.5</x:v>
      </x:c>
      <x:c r="G14" s="20" t="n">
        <x:f t="shared" si="1">E14*F14</x:f>
        <x:v>41.25</x:v>
      </x:c>
      <x:c r="H14" s="16" t="str">
        <x:v>Standard</x:v>
      </x:c>
    </x:row>
    <x:row r="15" ht="16.799999237060547" hidden="0" customHeight="1">
      <x:c r="A15" s="16" t="str">
        <x:v>C-02</x:v>
      </x:c>
      <x:c r="B15" s="16" t="str">
        <x:v>Install Zigbee Switch</x:v>
      </x:c>
      <x:c r="C15" s="16" t="n">
        <x:v>1</x:v>
      </x:c>
      <x:c r="D15" s="18" t="n">
        <x:f>IFERROR(VLOOKUP(B15,'02_Labour_Library'!$A$2:$D$100,2,FALSE),0)</x:f>
        <x:v>0.25</x:v>
      </x:c>
      <x:c r="E15" s="18" t="n">
        <x:f t="shared" si="0">C15*D15</x:f>
        <x:v>0.25</x:v>
      </x:c>
      <x:c r="F15" s="20" t="n">
        <x:f>'01_Settings'!$B$6</x:f>
        <x:v>82.5</x:v>
      </x:c>
      <x:c r="G15" s="20" t="n">
        <x:f t="shared" si="1">E15*F15</x:f>
        <x:v>20.625</x:v>
      </x:c>
      <x:c r="H15" s="16" t="str">
        <x:v>Standard</x:v>
      </x:c>
    </x:row>
    <x:row r="16" ht="16.799999237060547" hidden="0" customHeight="1">
      <x:c r="A16" s="16" t="str">
        <x:v>C-02</x:v>
      </x:c>
      <x:c r="B16" s="16" t="str">
        <x:v>Install Zigbee Dimmer</x:v>
      </x:c>
      <x:c r="C16" s="16" t="n">
        <x:v>1</x:v>
      </x:c>
      <x:c r="D16" s="18" t="n">
        <x:f>IFERROR(VLOOKUP(B16,'02_Labour_Library'!$A$2:$D$100,2,FALSE),0)</x:f>
        <x:v>0.25</x:v>
      </x:c>
      <x:c r="E16" s="18" t="n">
        <x:f t="shared" si="0">C16*D16</x:f>
        <x:v>0.25</x:v>
      </x:c>
      <x:c r="F16" s="20" t="n">
        <x:f>'01_Settings'!$B$6</x:f>
        <x:v>82.5</x:v>
      </x:c>
      <x:c r="G16" s="20" t="n">
        <x:f t="shared" si="1">E16*F16</x:f>
        <x:v>20.625</x:v>
      </x:c>
      <x:c r="H16" s="16" t="str">
        <x:v>Standard</x:v>
      </x:c>
    </x:row>
    <x:row r="17" ht="16.799999237060547" hidden="0" customHeight="1">
      <x:c r="A17" s="16" t="str">
        <x:v>C-02</x:v>
      </x:c>
      <x:c r="B17" s="16" t="str">
        <x:v>Install Multifunction Sensor</x:v>
      </x:c>
      <x:c r="C17" s="16" t="n">
        <x:v>1</x:v>
      </x:c>
      <x:c r="D17" s="18" t="n">
        <x:f>IFERROR(VLOOKUP(B17,'02_Labour_Library'!$A$2:$D$100,2,FALSE),0)</x:f>
        <x:v>1</x:v>
      </x:c>
      <x:c r="E17" s="18" t="n">
        <x:f t="shared" si="0">C17*D17</x:f>
        <x:v>1</x:v>
      </x:c>
      <x:c r="F17" s="20" t="n">
        <x:f>'01_Settings'!$B$6</x:f>
        <x:v>82.5</x:v>
      </x:c>
      <x:c r="G17" s="20" t="n">
        <x:f t="shared" si="1">E17*F17</x:f>
        <x:v>82.5</x:v>
      </x:c>
      <x:c r="H17" s="16" t="str">
        <x:v>Standard</x:v>
      </x:c>
    </x:row>
    <x:row r="18" ht="16.799999237060547" hidden="0" customHeight="1">
      <x:c r="A18" s="16" t="str">
        <x:v>C-02</x:v>
      </x:c>
      <x:c r="B18" s="16" t="str">
        <x:v>Install Curtain Motor</x:v>
      </x:c>
      <x:c r="C18" s="16" t="n">
        <x:v>1</x:v>
      </x:c>
      <x:c r="D18" s="18" t="n">
        <x:f>IFERROR(VLOOKUP(B18,'02_Labour_Library'!$A$2:$D$100,2,FALSE),0)</x:f>
        <x:v>1</x:v>
      </x:c>
      <x:c r="E18" s="18" t="n">
        <x:f t="shared" si="0">C18*D18</x:f>
        <x:v>1</x:v>
      </x:c>
      <x:c r="F18" s="20" t="n">
        <x:f>'01_Settings'!$B$6</x:f>
        <x:v>82.5</x:v>
      </x:c>
      <x:c r="G18" s="20" t="n">
        <x:f t="shared" si="1">E18*F18</x:f>
        <x:v>82.5</x:v>
      </x:c>
      <x:c r="H18" s="16" t="str">
        <x:v>Standard</x:v>
      </x:c>
    </x:row>
    <x:row r="19" ht="16.799999237060547" hidden="0" customHeight="1">
      <x:c r="A19" s="16" t="str">
        <x:v>C-02</x:v>
      </x:c>
      <x:c r="B19" s="16" t="str">
        <x:v>Install Curtain Track &lt;=3m</x:v>
      </x:c>
      <x:c r="C19" s="16" t="n">
        <x:v>1</x:v>
      </x:c>
      <x:c r="D19" s="18" t="n">
        <x:f>IFERROR(VLOOKUP(B19,'02_Labour_Library'!$A$2:$D$100,2,FALSE),0)</x:f>
        <x:v>0.5</x:v>
      </x:c>
      <x:c r="E19" s="18" t="n">
        <x:f t="shared" si="0">C19*D19</x:f>
        <x:v>0.5</x:v>
      </x:c>
      <x:c r="F19" s="20" t="n">
        <x:f>'01_Settings'!$B$6</x:f>
        <x:v>82.5</x:v>
      </x:c>
      <x:c r="G19" s="20" t="n">
        <x:f t="shared" si="1">E19*F19</x:f>
        <x:v>41.25</x:v>
      </x:c>
      <x:c r="H19" s="16" t="str">
        <x:v>Standard</x:v>
      </x:c>
    </x:row>
    <x:row r="20" ht="16.799999237060547" hidden="0" customHeight="1">
      <x:c r="A20" s="16" t="str">
        <x:v>C-02</x:v>
      </x:c>
      <x:c r="B20" s="16" t="str">
        <x:v>Install RGBW Controller</x:v>
      </x:c>
      <x:c r="C20" s="16" t="n">
        <x:v>1</x:v>
      </x:c>
      <x:c r="D20" s="18" t="n">
        <x:f>IFERROR(VLOOKUP(B20,'02_Labour_Library'!$A$2:$D$100,2,FALSE),0)</x:f>
        <x:v>0.25</x:v>
      </x:c>
      <x:c r="E20" s="18" t="n">
        <x:f t="shared" si="0">C20*D20</x:f>
        <x:v>0.25</x:v>
      </x:c>
      <x:c r="F20" s="20" t="n">
        <x:f>'01_Settings'!$B$6</x:f>
        <x:v>82.5</x:v>
      </x:c>
      <x:c r="G20" s="20" t="n">
        <x:f t="shared" si="1">E20*F20</x:f>
        <x:v>20.625</x:v>
      </x:c>
      <x:c r="H20" s="16" t="str">
        <x:v>Standard</x:v>
      </x:c>
    </x:row>
    <x:row r="21" ht="16.799999237060547" hidden="0" customHeight="1">
      <x:c r="A21" s="16" t="str">
        <x:v>C-02</x:v>
      </x:c>
      <x:c r="B21" s="16" t="str">
        <x:v>Install 24V Power Supply</x:v>
      </x:c>
      <x:c r="C21" s="16" t="n">
        <x:v>1</x:v>
      </x:c>
      <x:c r="D21" s="18" t="n">
        <x:f>IFERROR(VLOOKUP(B21,'02_Labour_Library'!$A$2:$D$100,2,FALSE),0)</x:f>
        <x:v>0.25</x:v>
      </x:c>
      <x:c r="E21" s="18" t="n">
        <x:f t="shared" si="0">C21*D21</x:f>
        <x:v>0.25</x:v>
      </x:c>
      <x:c r="F21" s="20" t="n">
        <x:f>'01_Settings'!$B$6</x:f>
        <x:v>82.5</x:v>
      </x:c>
      <x:c r="G21" s="20" t="n">
        <x:f t="shared" si="1">E21*F21</x:f>
        <x:v>20.625</x:v>
      </x:c>
      <x:c r="H21" s="16" t="str">
        <x:v>Standard</x:v>
      </x:c>
    </x:row>
    <x:row r="22" ht="16.799999237060547" hidden="0" customHeight="1">
      <x:c r="A22" s="16" t="str">
        <x:v>C-02</x:v>
      </x:c>
      <x:c r="B22" s="16" t="str">
        <x:v>Install Flexible LED Zone</x:v>
      </x:c>
      <x:c r="C22" s="16" t="n">
        <x:v>1</x:v>
      </x:c>
      <x:c r="D22" s="18" t="n">
        <x:f>IFERROR(VLOOKUP(B22,'02_Labour_Library'!$A$2:$D$100,2,FALSE),0)</x:f>
        <x:v>0.5</x:v>
      </x:c>
      <x:c r="E22" s="18" t="n">
        <x:f t="shared" si="0">C22*D22</x:f>
        <x:v>0.5</x:v>
      </x:c>
      <x:c r="F22" s="20" t="n">
        <x:f>'01_Settings'!$B$6</x:f>
        <x:v>82.5</x:v>
      </x:c>
      <x:c r="G22" s="20" t="n">
        <x:f t="shared" si="1">E22*F22</x:f>
        <x:v>41.25</x:v>
      </x:c>
      <x:c r="H22" s="16" t="str">
        <x:v>Standard</x:v>
      </x:c>
    </x:row>
    <x:row r="23" ht="16.799999237060547" hidden="0" customHeight="1">
      <x:c r="A23" s="16" t="str">
        <x:v>C-02</x:v>
      </x:c>
      <x:c r="B23" s="16" t="str">
        <x:v>Configure Smart Speaker</x:v>
      </x:c>
      <x:c r="C23" s="16" t="n">
        <x:v>1</x:v>
      </x:c>
      <x:c r="D23" s="18" t="n">
        <x:f>IFERROR(VLOOKUP(B23,'02_Labour_Library'!$A$2:$D$100,2,FALSE),0)</x:f>
        <x:v>0.08</x:v>
      </x:c>
      <x:c r="E23" s="18" t="n">
        <x:f t="shared" si="0">C23*D23</x:f>
        <x:v>0.08</x:v>
      </x:c>
      <x:c r="F23" s="20" t="n">
        <x:f>'01_Settings'!$B$6</x:f>
        <x:v>82.5</x:v>
      </x:c>
      <x:c r="G23" s="20" t="n">
        <x:f t="shared" si="1">E23*F23</x:f>
        <x:v>6.6000000000000005</x:v>
      </x:c>
      <x:c r="H23" s="16" t="str">
        <x:v>Standard</x:v>
      </x:c>
    </x:row>
    <x:row r="24" ht="16.799999237060547" hidden="0" customHeight="1">
      <x:c r="A24" s="16" t="str">
        <x:v>C-02</x:v>
      </x:c>
      <x:c r="B24" s="16" t="str">
        <x:v>Configure IR Device</x:v>
      </x:c>
      <x:c r="C24" s="16" t="n">
        <x:v>1</x:v>
      </x:c>
      <x:c r="D24" s="18" t="n">
        <x:f>IFERROR(VLOOKUP(B24,'02_Labour_Library'!$A$2:$D$100,2,FALSE),0)</x:f>
        <x:v>0.25</x:v>
      </x:c>
      <x:c r="E24" s="18" t="n">
        <x:f t="shared" si="0">C24*D24</x:f>
        <x:v>0.25</x:v>
      </x:c>
      <x:c r="F24" s="20" t="n">
        <x:f>'01_Settings'!$B$6</x:f>
        <x:v>82.5</x:v>
      </x:c>
      <x:c r="G24" s="20" t="n">
        <x:f t="shared" si="1">E24*F24</x:f>
        <x:v>20.625</x:v>
      </x:c>
      <x:c r="H24" s="16" t="str">
        <x:v>Split AC</x:v>
      </x:c>
    </x:row>
    <x:row r="25" ht="16.799999237060547" hidden="0" customHeight="1">
      <x:c r="A25" s="16" t="str">
        <x:v>C-02</x:v>
      </x:c>
      <x:c r="B25" s="16" t="str">
        <x:v>Programming - Collection</x:v>
      </x:c>
      <x:c r="C25" s="16" t="n">
        <x:v>1</x:v>
      </x:c>
      <x:c r="D25" s="18" t="n">
        <x:f>IFERROR(VLOOKUP(B25,'02_Labour_Library'!$A$2:$D$100,2,FALSE),0)</x:f>
        <x:v>1</x:v>
      </x:c>
      <x:c r="E25" s="18" t="n">
        <x:f t="shared" si="0">C25*D25</x:f>
        <x:v>1</x:v>
      </x:c>
      <x:c r="F25" s="20" t="n">
        <x:f>'01_Settings'!$B$6</x:f>
        <x:v>82.5</x:v>
      </x:c>
      <x:c r="G25" s="20" t="n">
        <x:f t="shared" si="1">E25*F25</x:f>
        <x:v>82.5</x:v>
      </x:c>
      <x:c r="H25" s="16" t="str">
        <x:v>Standard</x:v>
      </x:c>
    </x:row>
    <x:row r="26" ht="16.799999237060547" hidden="0" customHeight="1">
      <x:c r="A26" s="16" t="str">
        <x:v>C-02</x:v>
      </x:c>
      <x:c r="B26" s="16" t="str">
        <x:v>Testing</x:v>
      </x:c>
      <x:c r="C26" s="16" t="n">
        <x:v>1</x:v>
      </x:c>
      <x:c r="D26" s="18" t="n">
        <x:f>IFERROR(VLOOKUP(B26,'02_Labour_Library'!$A$2:$D$100,2,FALSE),0)</x:f>
        <x:v>0.5</x:v>
      </x:c>
      <x:c r="E26" s="18" t="n">
        <x:f t="shared" si="0">C26*D26</x:f>
        <x:v>0.5</x:v>
      </x:c>
      <x:c r="F26" s="20" t="n">
        <x:f>'01_Settings'!$B$6</x:f>
        <x:v>82.5</x:v>
      </x:c>
      <x:c r="G26" s="20" t="n">
        <x:f t="shared" si="1">E26*F26</x:f>
        <x:v>41.25</x:v>
      </x:c>
      <x:c r="H26" s="16" t="str">
        <x:v>Standard</x:v>
      </x:c>
    </x:row>
    <x:row r="27" ht="16.799999237060547" hidden="0" customHeight="1">
      <x:c r="A27" s="16" t="str">
        <x:v>C-02</x:v>
      </x:c>
      <x:c r="B27" s="16" t="str">
        <x:v>Customer Training</x:v>
      </x:c>
      <x:c r="C27" s="16" t="n">
        <x:v>1</x:v>
      </x:c>
      <x:c r="D27" s="18" t="n">
        <x:f>IFERROR(VLOOKUP(B27,'02_Labour_Library'!$A$2:$D$100,2,FALSE),0)</x:f>
        <x:v>0.5</x:v>
      </x:c>
      <x:c r="E27" s="18" t="n">
        <x:f t="shared" si="0">C27*D27</x:f>
        <x:v>0.5</x:v>
      </x:c>
      <x:c r="F27" s="20" t="n">
        <x:f>'01_Settings'!$B$6</x:f>
        <x:v>82.5</x:v>
      </x:c>
      <x:c r="G27" s="20" t="n">
        <x:f t="shared" si="1">E27*F27</x:f>
        <x:v>41.25</x:v>
      </x:c>
      <x:c r="H27" s="16" t="str">
        <x:v>Standard</x:v>
      </x:c>
    </x:row>
    <x:row r="28" ht="16.799999237060547" hidden="0" customHeight="1">
      <x:c r="A28" s="16" t="str">
        <x:v>C-03</x:v>
      </x:c>
      <x:c r="B28" s="16" t="str">
        <x:v>Install Zigbee Switch</x:v>
      </x:c>
      <x:c r="C28" s="16" t="n">
        <x:v>1</x:v>
      </x:c>
      <x:c r="D28" s="18" t="n">
        <x:f>IFERROR(VLOOKUP(B28,'02_Labour_Library'!$A$2:$D$100,2,FALSE),0)</x:f>
        <x:v>0.25</x:v>
      </x:c>
      <x:c r="E28" s="18" t="n">
        <x:f t="shared" si="0">C28*D28</x:f>
        <x:v>0.25</x:v>
      </x:c>
      <x:c r="F28" s="20" t="n">
        <x:f>'01_Settings'!$B$6</x:f>
        <x:v>82.5</x:v>
      </x:c>
      <x:c r="G28" s="20" t="n">
        <x:f t="shared" si="1">E28*F28</x:f>
        <x:v>20.625</x:v>
      </x:c>
      <x:c r="H28" s="16" t="str">
        <x:v>Standard</x:v>
      </x:c>
    </x:row>
    <x:row r="29" ht="16.799999237060547" hidden="0" customHeight="1">
      <x:c r="A29" s="16" t="str">
        <x:v>C-03</x:v>
      </x:c>
      <x:c r="B29" s="16" t="str">
        <x:v>Install Zigbee Dimmer</x:v>
      </x:c>
      <x:c r="C29" s="16" t="n">
        <x:v>1</x:v>
      </x:c>
      <x:c r="D29" s="18" t="n">
        <x:f>IFERROR(VLOOKUP(B29,'02_Labour_Library'!$A$2:$D$100,2,FALSE),0)</x:f>
        <x:v>0.25</x:v>
      </x:c>
      <x:c r="E29" s="18" t="n">
        <x:f t="shared" si="0">C29*D29</x:f>
        <x:v>0.25</x:v>
      </x:c>
      <x:c r="F29" s="20" t="n">
        <x:f>'01_Settings'!$B$6</x:f>
        <x:v>82.5</x:v>
      </x:c>
      <x:c r="G29" s="20" t="n">
        <x:f t="shared" si="1">E29*F29</x:f>
        <x:v>20.625</x:v>
      </x:c>
      <x:c r="H29" s="16" t="str">
        <x:v>Standard</x:v>
      </x:c>
    </x:row>
    <x:row r="30" ht="16.799999237060547" hidden="0" customHeight="1">
      <x:c r="A30" s="16" t="str">
        <x:v>C-03</x:v>
      </x:c>
      <x:c r="B30" s="16" t="str">
        <x:v>Install Occupancy Sensor</x:v>
      </x:c>
      <x:c r="C30" s="16" t="n">
        <x:v>1</x:v>
      </x:c>
      <x:c r="D30" s="18" t="n">
        <x:f>IFERROR(VLOOKUP(B30,'02_Labour_Library'!$A$2:$D$100,2,FALSE),0)</x:f>
        <x:v>1</x:v>
      </x:c>
      <x:c r="E30" s="18" t="n">
        <x:f t="shared" si="0">C30*D30</x:f>
        <x:v>1</x:v>
      </x:c>
      <x:c r="F30" s="20" t="n">
        <x:f>'01_Settings'!$B$6</x:f>
        <x:v>82.5</x:v>
      </x:c>
      <x:c r="G30" s="20" t="n">
        <x:f t="shared" si="1">E30*F30</x:f>
        <x:v>82.5</x:v>
      </x:c>
      <x:c r="H30" s="16" t="str">
        <x:v>Standard</x:v>
      </x:c>
    </x:row>
    <x:row r="31" ht="16.799999237060547" hidden="0" customHeight="1">
      <x:c r="A31" s="16" t="str">
        <x:v>C-03</x:v>
      </x:c>
      <x:c r="B31" s="16" t="str">
        <x:v>Install RGBW Controller</x:v>
      </x:c>
      <x:c r="C31" s="16" t="n">
        <x:v>1</x:v>
      </x:c>
      <x:c r="D31" s="18" t="n">
        <x:f>IFERROR(VLOOKUP(B31,'02_Labour_Library'!$A$2:$D$100,2,FALSE),0)</x:f>
        <x:v>0.25</x:v>
      </x:c>
      <x:c r="E31" s="18" t="n">
        <x:f t="shared" si="0">C31*D31</x:f>
        <x:v>0.25</x:v>
      </x:c>
      <x:c r="F31" s="20" t="n">
        <x:f>'01_Settings'!$B$6</x:f>
        <x:v>82.5</x:v>
      </x:c>
      <x:c r="G31" s="20" t="n">
        <x:f t="shared" si="1">E31*F31</x:f>
        <x:v>20.625</x:v>
      </x:c>
      <x:c r="H31" s="16" t="str">
        <x:v>Standard</x:v>
      </x:c>
    </x:row>
    <x:row r="32" ht="16.799999237060547" hidden="0" customHeight="1">
      <x:c r="A32" s="16" t="str">
        <x:v>C-03</x:v>
      </x:c>
      <x:c r="B32" s="16" t="str">
        <x:v>Install 24V Power Supply</x:v>
      </x:c>
      <x:c r="C32" s="16" t="n">
        <x:v>1</x:v>
      </x:c>
      <x:c r="D32" s="18" t="n">
        <x:f>IFERROR(VLOOKUP(B32,'02_Labour_Library'!$A$2:$D$100,2,FALSE),0)</x:f>
        <x:v>0.25</x:v>
      </x:c>
      <x:c r="E32" s="18" t="n">
        <x:f t="shared" si="0">C32*D32</x:f>
        <x:v>0.25</x:v>
      </x:c>
      <x:c r="F32" s="20" t="n">
        <x:f>'01_Settings'!$B$6</x:f>
        <x:v>82.5</x:v>
      </x:c>
      <x:c r="G32" s="20" t="n">
        <x:f t="shared" si="1">E32*F32</x:f>
        <x:v>20.625</x:v>
      </x:c>
      <x:c r="H32" s="16" t="str">
        <x:v>Standard</x:v>
      </x:c>
    </x:row>
    <x:row r="33" ht="16.799999237060547" hidden="0" customHeight="1">
      <x:c r="A33" s="16" t="str">
        <x:v>C-03</x:v>
      </x:c>
      <x:c r="B33" s="16" t="str">
        <x:v>Install Flexible LED Zone</x:v>
      </x:c>
      <x:c r="C33" s="16" t="n">
        <x:v>1</x:v>
      </x:c>
      <x:c r="D33" s="18" t="n">
        <x:f>IFERROR(VLOOKUP(B33,'02_Labour_Library'!$A$2:$D$100,2,FALSE),0)</x:f>
        <x:v>0.5</x:v>
      </x:c>
      <x:c r="E33" s="18" t="n">
        <x:f t="shared" si="0">C33*D33</x:f>
        <x:v>0.5</x:v>
      </x:c>
      <x:c r="F33" s="20" t="n">
        <x:f>'01_Settings'!$B$6</x:f>
        <x:v>82.5</x:v>
      </x:c>
      <x:c r="G33" s="20" t="n">
        <x:f t="shared" si="1">E33*F33</x:f>
        <x:v>41.25</x:v>
      </x:c>
      <x:c r="H33" s="16" t="str">
        <x:v>Standard</x:v>
      </x:c>
    </x:row>
    <x:row r="34" ht="16.799999237060547" hidden="0" customHeight="1">
      <x:c r="A34" s="16" t="str">
        <x:v>C-03</x:v>
      </x:c>
      <x:c r="B34" s="16" t="str">
        <x:v>Configure Smart Display</x:v>
      </x:c>
      <x:c r="C34" s="16" t="n">
        <x:v>1</x:v>
      </x:c>
      <x:c r="D34" s="18" t="n">
        <x:f>IFERROR(VLOOKUP(B34,'02_Labour_Library'!$A$2:$D$100,2,FALSE),0)</x:f>
        <x:v>0.08</x:v>
      </x:c>
      <x:c r="E34" s="18" t="n">
        <x:f t="shared" si="0">C34*D34</x:f>
        <x:v>0.08</x:v>
      </x:c>
      <x:c r="F34" s="20" t="n">
        <x:f>'01_Settings'!$B$6</x:f>
        <x:v>82.5</x:v>
      </x:c>
      <x:c r="G34" s="20" t="n">
        <x:f t="shared" si="1">E34*F34</x:f>
        <x:v>6.6000000000000005</x:v>
      </x:c>
      <x:c r="H34" s="16" t="str">
        <x:v>Standard</x:v>
      </x:c>
    </x:row>
    <x:row r="35" ht="16.799999237060547" hidden="0" customHeight="1">
      <x:c r="A35" s="16" t="str">
        <x:v>C-03</x:v>
      </x:c>
      <x:c r="B35" s="16" t="str">
        <x:v>Configure Smart Plug</x:v>
      </x:c>
      <x:c r="C35" s="16" t="n">
        <x:v>1</x:v>
      </x:c>
      <x:c r="D35" s="18" t="n">
        <x:f>IFERROR(VLOOKUP(B35,'02_Labour_Library'!$A$2:$D$100,2,FALSE),0)</x:f>
        <x:v>0.08</x:v>
      </x:c>
      <x:c r="E35" s="18" t="n">
        <x:f t="shared" si="0">C35*D35</x:f>
        <x:v>0.08</x:v>
      </x:c>
      <x:c r="F35" s="20" t="n">
        <x:f>'01_Settings'!$B$6</x:f>
        <x:v>82.5</x:v>
      </x:c>
      <x:c r="G35" s="20" t="n">
        <x:f t="shared" si="1">E35*F35</x:f>
        <x:v>6.6000000000000005</x:v>
      </x:c>
      <x:c r="H35" s="16" t="str">
        <x:v>Standard</x:v>
      </x:c>
    </x:row>
    <x:row r="36" ht="16.799999237060547" hidden="0" customHeight="1">
      <x:c r="A36" s="16" t="str">
        <x:v>C-03</x:v>
      </x:c>
      <x:c r="B36" s="16" t="str">
        <x:v>Programming - Collection</x:v>
      </x:c>
      <x:c r="C36" s="16" t="n">
        <x:v>1</x:v>
      </x:c>
      <x:c r="D36" s="18" t="n">
        <x:f>IFERROR(VLOOKUP(B36,'02_Labour_Library'!$A$2:$D$100,2,FALSE),0)</x:f>
        <x:v>1</x:v>
      </x:c>
      <x:c r="E36" s="18" t="n">
        <x:f t="shared" si="0">C36*D36</x:f>
        <x:v>1</x:v>
      </x:c>
      <x:c r="F36" s="20" t="n">
        <x:f>'01_Settings'!$B$6</x:f>
        <x:v>82.5</x:v>
      </x:c>
      <x:c r="G36" s="20" t="n">
        <x:f t="shared" si="1">E36*F36</x:f>
        <x:v>82.5</x:v>
      </x:c>
      <x:c r="H36" s="16" t="str">
        <x:v>Standard</x:v>
      </x:c>
    </x:row>
    <x:row r="37" ht="16.799999237060547" hidden="0" customHeight="1">
      <x:c r="A37" s="16" t="str">
        <x:v>C-03</x:v>
      </x:c>
      <x:c r="B37" s="16" t="str">
        <x:v>Testing</x:v>
      </x:c>
      <x:c r="C37" s="16" t="n">
        <x:v>1</x:v>
      </x:c>
      <x:c r="D37" s="18" t="n">
        <x:f>IFERROR(VLOOKUP(B37,'02_Labour_Library'!$A$2:$D$100,2,FALSE),0)</x:f>
        <x:v>0.5</x:v>
      </x:c>
      <x:c r="E37" s="18" t="n">
        <x:f t="shared" si="0">C37*D37</x:f>
        <x:v>0.5</x:v>
      </x:c>
      <x:c r="F37" s="20" t="n">
        <x:f>'01_Settings'!$B$6</x:f>
        <x:v>82.5</x:v>
      </x:c>
      <x:c r="G37" s="20" t="n">
        <x:f t="shared" si="1">E37*F37</x:f>
        <x:v>41.25</x:v>
      </x:c>
      <x:c r="H37" s="16" t="str">
        <x:v>Standard</x:v>
      </x:c>
    </x:row>
    <x:row r="38" ht="16.799999237060547" hidden="0" customHeight="1">
      <x:c r="A38" s="16" t="str">
        <x:v>C-03</x:v>
      </x:c>
      <x:c r="B38" s="16" t="str">
        <x:v>Customer Training</x:v>
      </x:c>
      <x:c r="C38" s="16" t="n">
        <x:v>1</x:v>
      </x:c>
      <x:c r="D38" s="18" t="n">
        <x:f>IFERROR(VLOOKUP(B38,'02_Labour_Library'!$A$2:$D$100,2,FALSE),0)</x:f>
        <x:v>0.5</x:v>
      </x:c>
      <x:c r="E38" s="18" t="n">
        <x:f t="shared" si="0">C38*D38</x:f>
        <x:v>0.5</x:v>
      </x:c>
      <x:c r="F38" s="20" t="n">
        <x:f>'01_Settings'!$B$6</x:f>
        <x:v>82.5</x:v>
      </x:c>
      <x:c r="G38" s="20" t="n">
        <x:f t="shared" si="1">E38*F38</x:f>
        <x:v>41.25</x:v>
      </x:c>
      <x:c r="H38" s="16" t="str">
        <x:v>Standard</x:v>
      </x:c>
    </x:row>
    <x:row r="39" ht="16.799999237060547" hidden="0" customHeight="1">
      <x:c r="A39" s="16" t="str">
        <x:v>C-04</x:v>
      </x:c>
      <x:c r="B39" s="16" t="str">
        <x:v>Install Zigbee Switch</x:v>
      </x:c>
      <x:c r="C39" s="16" t="n">
        <x:v>1</x:v>
      </x:c>
      <x:c r="D39" s="18" t="n">
        <x:f>IFERROR(VLOOKUP(B39,'02_Labour_Library'!$A$2:$D$100,2,FALSE),0)</x:f>
        <x:v>0.25</x:v>
      </x:c>
      <x:c r="E39" s="18" t="n">
        <x:f t="shared" si="0">C39*D39</x:f>
        <x:v>0.25</x:v>
      </x:c>
      <x:c r="F39" s="20" t="n">
        <x:f>'01_Settings'!$B$6</x:f>
        <x:v>82.5</x:v>
      </x:c>
      <x:c r="G39" s="20" t="n">
        <x:f t="shared" si="1">E39*F39</x:f>
        <x:v>20.625</x:v>
      </x:c>
      <x:c r="H39" s="16" t="str">
        <x:v>Standard</x:v>
      </x:c>
    </x:row>
    <x:row r="40" ht="16.799999237060547" hidden="0" customHeight="1">
      <x:c r="A40" s="16" t="str">
        <x:v>C-04</x:v>
      </x:c>
      <x:c r="B40" s="16" t="str">
        <x:v>Install Zigbee Dimmer</x:v>
      </x:c>
      <x:c r="C40" s="16" t="n">
        <x:v>1</x:v>
      </x:c>
      <x:c r="D40" s="18" t="n">
        <x:f>IFERROR(VLOOKUP(B40,'02_Labour_Library'!$A$2:$D$100,2,FALSE),0)</x:f>
        <x:v>0.25</x:v>
      </x:c>
      <x:c r="E40" s="18" t="n">
        <x:f t="shared" si="0">C40*D40</x:f>
        <x:v>0.25</x:v>
      </x:c>
      <x:c r="F40" s="20" t="n">
        <x:f>'01_Settings'!$B$6</x:f>
        <x:v>82.5</x:v>
      </x:c>
      <x:c r="G40" s="20" t="n">
        <x:f t="shared" si="1">E40*F40</x:f>
        <x:v>20.625</x:v>
      </x:c>
      <x:c r="H40" s="16" t="str">
        <x:v>Standard</x:v>
      </x:c>
    </x:row>
    <x:row r="41" ht="16.799999237060547" hidden="0" customHeight="1">
      <x:c r="A41" s="16" t="str">
        <x:v>C-04</x:v>
      </x:c>
      <x:c r="B41" s="16" t="str">
        <x:v>Install Multifunction Sensor</x:v>
      </x:c>
      <x:c r="C41" s="16" t="n">
        <x:v>1</x:v>
      </x:c>
      <x:c r="D41" s="18" t="n">
        <x:f>IFERROR(VLOOKUP(B41,'02_Labour_Library'!$A$2:$D$100,2,FALSE),0)</x:f>
        <x:v>1</x:v>
      </x:c>
      <x:c r="E41" s="18" t="n">
        <x:f t="shared" si="0">C41*D41</x:f>
        <x:v>1</x:v>
      </x:c>
      <x:c r="F41" s="20" t="n">
        <x:f>'01_Settings'!$B$6</x:f>
        <x:v>82.5</x:v>
      </x:c>
      <x:c r="G41" s="20" t="n">
        <x:f t="shared" si="1">E41*F41</x:f>
        <x:v>82.5</x:v>
      </x:c>
      <x:c r="H41" s="16" t="str">
        <x:v>Standard</x:v>
      </x:c>
    </x:row>
    <x:row r="42" ht="16.799999237060547" hidden="0" customHeight="1">
      <x:c r="A42" s="16" t="str">
        <x:v>C-04</x:v>
      </x:c>
      <x:c r="B42" s="16" t="str">
        <x:v>Install Curtain Motor</x:v>
      </x:c>
      <x:c r="C42" s="16" t="n">
        <x:v>1</x:v>
      </x:c>
      <x:c r="D42" s="18" t="n">
        <x:f>IFERROR(VLOOKUP(B42,'02_Labour_Library'!$A$2:$D$100,2,FALSE),0)</x:f>
        <x:v>1</x:v>
      </x:c>
      <x:c r="E42" s="18" t="n">
        <x:f t="shared" si="0">C42*D42</x:f>
        <x:v>1</x:v>
      </x:c>
      <x:c r="F42" s="20" t="n">
        <x:f>'01_Settings'!$B$6</x:f>
        <x:v>82.5</x:v>
      </x:c>
      <x:c r="G42" s="20" t="n">
        <x:f t="shared" si="1">E42*F42</x:f>
        <x:v>82.5</x:v>
      </x:c>
      <x:c r="H42" s="16" t="str">
        <x:v>Standard</x:v>
      </x:c>
    </x:row>
    <x:row r="43" ht="16.799999237060547" hidden="0" customHeight="1">
      <x:c r="A43" s="16" t="str">
        <x:v>C-04</x:v>
      </x:c>
      <x:c r="B43" s="16" t="str">
        <x:v>Install Curtain Track &lt;=3m</x:v>
      </x:c>
      <x:c r="C43" s="16" t="n">
        <x:v>1</x:v>
      </x:c>
      <x:c r="D43" s="18" t="n">
        <x:f>IFERROR(VLOOKUP(B43,'02_Labour_Library'!$A$2:$D$100,2,FALSE),0)</x:f>
        <x:v>0.5</x:v>
      </x:c>
      <x:c r="E43" s="18" t="n">
        <x:f t="shared" si="0">C43*D43</x:f>
        <x:v>0.5</x:v>
      </x:c>
      <x:c r="F43" s="20" t="n">
        <x:f>'01_Settings'!$B$6</x:f>
        <x:v>82.5</x:v>
      </x:c>
      <x:c r="G43" s="20" t="n">
        <x:f t="shared" si="1">E43*F43</x:f>
        <x:v>41.25</x:v>
      </x:c>
      <x:c r="H43" s="16" t="str">
        <x:v>Standard</x:v>
      </x:c>
    </x:row>
    <x:row r="44" ht="16.799999237060547" hidden="0" customHeight="1">
      <x:c r="A44" s="16" t="str">
        <x:v>C-04</x:v>
      </x:c>
      <x:c r="B44" s="16" t="str">
        <x:v>Install RGBW Controller</x:v>
      </x:c>
      <x:c r="C44" s="16" t="n">
        <x:v>1</x:v>
      </x:c>
      <x:c r="D44" s="18" t="n">
        <x:f>IFERROR(VLOOKUP(B44,'02_Labour_Library'!$A$2:$D$100,2,FALSE),0)</x:f>
        <x:v>0.25</x:v>
      </x:c>
      <x:c r="E44" s="18" t="n">
        <x:f t="shared" si="0">C44*D44</x:f>
        <x:v>0.25</x:v>
      </x:c>
      <x:c r="F44" s="20" t="n">
        <x:f>'01_Settings'!$B$6</x:f>
        <x:v>82.5</x:v>
      </x:c>
      <x:c r="G44" s="20" t="n">
        <x:f t="shared" si="1">E44*F44</x:f>
        <x:v>20.625</x:v>
      </x:c>
      <x:c r="H44" s="16" t="str">
        <x:v>Standard</x:v>
      </x:c>
    </x:row>
    <x:row r="45" ht="16.799999237060547" hidden="0" customHeight="1">
      <x:c r="A45" s="16" t="str">
        <x:v>C-04</x:v>
      </x:c>
      <x:c r="B45" s="16" t="str">
        <x:v>Install 24V Power Supply</x:v>
      </x:c>
      <x:c r="C45" s="16" t="n">
        <x:v>1</x:v>
      </x:c>
      <x:c r="D45" s="18" t="n">
        <x:f>IFERROR(VLOOKUP(B45,'02_Labour_Library'!$A$2:$D$100,2,FALSE),0)</x:f>
        <x:v>0.25</x:v>
      </x:c>
      <x:c r="E45" s="18" t="n">
        <x:f t="shared" si="0">C45*D45</x:f>
        <x:v>0.25</x:v>
      </x:c>
      <x:c r="F45" s="20" t="n">
        <x:f>'01_Settings'!$B$6</x:f>
        <x:v>82.5</x:v>
      </x:c>
      <x:c r="G45" s="20" t="n">
        <x:f t="shared" si="1">E45*F45</x:f>
        <x:v>20.625</x:v>
      </x:c>
      <x:c r="H45" s="16" t="str">
        <x:v>Standard</x:v>
      </x:c>
    </x:row>
    <x:row r="46" ht="16.799999237060547" hidden="0" customHeight="1">
      <x:c r="A46" s="16" t="str">
        <x:v>C-04</x:v>
      </x:c>
      <x:c r="B46" s="16" t="str">
        <x:v>Install Flexible LED Zone</x:v>
      </x:c>
      <x:c r="C46" s="16" t="n">
        <x:v>1</x:v>
      </x:c>
      <x:c r="D46" s="18" t="n">
        <x:f>IFERROR(VLOOKUP(B46,'02_Labour_Library'!$A$2:$D$100,2,FALSE),0)</x:f>
        <x:v>0.5</x:v>
      </x:c>
      <x:c r="E46" s="18" t="n">
        <x:f t="shared" si="0">C46*D46</x:f>
        <x:v>0.5</x:v>
      </x:c>
      <x:c r="F46" s="20" t="n">
        <x:f>'01_Settings'!$B$6</x:f>
        <x:v>82.5</x:v>
      </x:c>
      <x:c r="G46" s="20" t="n">
        <x:f t="shared" si="1">E46*F46</x:f>
        <x:v>41.25</x:v>
      </x:c>
      <x:c r="H46" s="16" t="str">
        <x:v>Standard</x:v>
      </x:c>
    </x:row>
    <x:row r="47" ht="16.799999237060547" hidden="0" customHeight="1">
      <x:c r="A47" s="16" t="str">
        <x:v>C-04</x:v>
      </x:c>
      <x:c r="B47" s="16" t="str">
        <x:v>Configure Smart Speaker</x:v>
      </x:c>
      <x:c r="C47" s="16" t="n">
        <x:v>1</x:v>
      </x:c>
      <x:c r="D47" s="18" t="n">
        <x:f>IFERROR(VLOOKUP(B47,'02_Labour_Library'!$A$2:$D$100,2,FALSE),0)</x:f>
        <x:v>0.08</x:v>
      </x:c>
      <x:c r="E47" s="18" t="n">
        <x:f t="shared" si="0">C47*D47</x:f>
        <x:v>0.08</x:v>
      </x:c>
      <x:c r="F47" s="20" t="n">
        <x:f>'01_Settings'!$B$6</x:f>
        <x:v>82.5</x:v>
      </x:c>
      <x:c r="G47" s="20" t="n">
        <x:f t="shared" si="1">E47*F47</x:f>
        <x:v>6.6000000000000005</x:v>
      </x:c>
      <x:c r="H47" s="16" t="str">
        <x:v>Standard</x:v>
      </x:c>
    </x:row>
    <x:row r="48" ht="16.799999237060547" hidden="0" customHeight="1">
      <x:c r="A48" s="16" t="str">
        <x:v>C-04</x:v>
      </x:c>
      <x:c r="B48" s="16" t="str">
        <x:v>Configure IR Device</x:v>
      </x:c>
      <x:c r="C48" s="16" t="n">
        <x:v>1</x:v>
      </x:c>
      <x:c r="D48" s="18" t="n">
        <x:f>IFERROR(VLOOKUP(B48,'02_Labour_Library'!$A$2:$D$100,2,FALSE),0)</x:f>
        <x:v>0.25</x:v>
      </x:c>
      <x:c r="E48" s="18" t="n">
        <x:f t="shared" si="0">C48*D48</x:f>
        <x:v>0.25</x:v>
      </x:c>
      <x:c r="F48" s="20" t="n">
        <x:f>'01_Settings'!$B$6</x:f>
        <x:v>82.5</x:v>
      </x:c>
      <x:c r="G48" s="20" t="n">
        <x:f t="shared" si="1">E48*F48</x:f>
        <x:v>20.625</x:v>
      </x:c>
      <x:c r="H48" s="16" t="str">
        <x:v>Split AC</x:v>
      </x:c>
    </x:row>
    <x:row r="49" ht="16.799999237060547" hidden="0" customHeight="1">
      <x:c r="A49" s="16" t="str">
        <x:v>C-04</x:v>
      </x:c>
      <x:c r="B49" s="16" t="str">
        <x:v>Configure Bedside Remote</x:v>
      </x:c>
      <x:c r="C49" s="16" t="n">
        <x:v>2</x:v>
      </x:c>
      <x:c r="D49" s="18" t="n">
        <x:f>IFERROR(VLOOKUP(B49,'02_Labour_Library'!$A$2:$D$100,2,FALSE),0)</x:f>
        <x:v>0.1</x:v>
      </x:c>
      <x:c r="E49" s="18" t="n">
        <x:f t="shared" si="0">C49*D49</x:f>
        <x:v>0.2</x:v>
      </x:c>
      <x:c r="F49" s="20" t="n">
        <x:f>'01_Settings'!$B$6</x:f>
        <x:v>82.5</x:v>
      </x:c>
      <x:c r="G49" s="20" t="n">
        <x:f t="shared" si="1">E49*F49</x:f>
        <x:v>16.5</x:v>
      </x:c>
      <x:c r="H49" s="16" t="str">
        <x:v>Two remotes</x:v>
      </x:c>
    </x:row>
    <x:row r="50" ht="16.799999237060547" hidden="0" customHeight="1">
      <x:c r="A50" s="16" t="str">
        <x:v>C-04</x:v>
      </x:c>
      <x:c r="B50" s="16" t="str">
        <x:v>Programming - Collection</x:v>
      </x:c>
      <x:c r="C50" s="16" t="n">
        <x:v>1</x:v>
      </x:c>
      <x:c r="D50" s="18" t="n">
        <x:f>IFERROR(VLOOKUP(B50,'02_Labour_Library'!$A$2:$D$100,2,FALSE),0)</x:f>
        <x:v>1</x:v>
      </x:c>
      <x:c r="E50" s="18" t="n">
        <x:f t="shared" si="0">C50*D50</x:f>
        <x:v>1</x:v>
      </x:c>
      <x:c r="F50" s="20" t="n">
        <x:f>'01_Settings'!$B$6</x:f>
        <x:v>82.5</x:v>
      </x:c>
      <x:c r="G50" s="20" t="n">
        <x:f t="shared" si="1">E50*F50</x:f>
        <x:v>82.5</x:v>
      </x:c>
      <x:c r="H50" s="16" t="str">
        <x:v>Standard</x:v>
      </x:c>
    </x:row>
    <x:row r="51" ht="16.799999237060547" hidden="0" customHeight="1">
      <x:c r="A51" s="16" t="str">
        <x:v>C-04</x:v>
      </x:c>
      <x:c r="B51" s="16" t="str">
        <x:v>Testing</x:v>
      </x:c>
      <x:c r="C51" s="16" t="n">
        <x:v>1</x:v>
      </x:c>
      <x:c r="D51" s="18" t="n">
        <x:f>IFERROR(VLOOKUP(B51,'02_Labour_Library'!$A$2:$D$100,2,FALSE),0)</x:f>
        <x:v>0.5</x:v>
      </x:c>
      <x:c r="E51" s="18" t="n">
        <x:f t="shared" si="0">C51*D51</x:f>
        <x:v>0.5</x:v>
      </x:c>
      <x:c r="F51" s="20" t="n">
        <x:f>'01_Settings'!$B$6</x:f>
        <x:v>82.5</x:v>
      </x:c>
      <x:c r="G51" s="20" t="n">
        <x:f t="shared" si="1">E51*F51</x:f>
        <x:v>41.25</x:v>
      </x:c>
      <x:c r="H51" s="16" t="str">
        <x:v>Standard</x:v>
      </x:c>
    </x:row>
    <x:row r="52" ht="16.799999237060547" hidden="0" customHeight="1">
      <x:c r="A52" s="16" t="str">
        <x:v>C-04</x:v>
      </x:c>
      <x:c r="B52" s="16" t="str">
        <x:v>Customer Training</x:v>
      </x:c>
      <x:c r="C52" s="16" t="n">
        <x:v>1</x:v>
      </x:c>
      <x:c r="D52" s="18" t="n">
        <x:f>IFERROR(VLOOKUP(B52,'02_Labour_Library'!$A$2:$D$100,2,FALSE),0)</x:f>
        <x:v>0.5</x:v>
      </x:c>
      <x:c r="E52" s="18" t="n">
        <x:f t="shared" si="0">C52*D52</x:f>
        <x:v>0.5</x:v>
      </x:c>
      <x:c r="F52" s="20" t="n">
        <x:f>'01_Settings'!$B$6</x:f>
        <x:v>82.5</x:v>
      </x:c>
      <x:c r="G52" s="20" t="n">
        <x:f t="shared" si="1">E52*F52</x:f>
        <x:v>41.25</x:v>
      </x:c>
      <x:c r="H52" s="16" t="str">
        <x:v>Standard</x:v>
      </x:c>
    </x:row>
    <x:row r="53" ht="16.799999237060547" hidden="0" customHeight="1">
      <x:c r="A53" s="16" t="str">
        <x:v>C-05</x:v>
      </x:c>
      <x:c r="B53" s="16" t="str">
        <x:v>Install Zigbee Switch</x:v>
      </x:c>
      <x:c r="C53" s="16" t="n">
        <x:v>1</x:v>
      </x:c>
      <x:c r="D53" s="18" t="n">
        <x:f>IFERROR(VLOOKUP(B53,'02_Labour_Library'!$A$2:$D$100,2,FALSE),0)</x:f>
        <x:v>0.25</x:v>
      </x:c>
      <x:c r="E53" s="18" t="n">
        <x:f t="shared" si="0">C53*D53</x:f>
        <x:v>0.25</x:v>
      </x:c>
      <x:c r="F53" s="20" t="n">
        <x:f>'01_Settings'!$B$6</x:f>
        <x:v>82.5</x:v>
      </x:c>
      <x:c r="G53" s="20" t="n">
        <x:f t="shared" si="1">E53*F53</x:f>
        <x:v>20.625</x:v>
      </x:c>
      <x:c r="H53" s="16" t="str">
        <x:v>Standard</x:v>
      </x:c>
    </x:row>
    <x:row r="54" ht="16.799999237060547" hidden="0" customHeight="1">
      <x:c r="A54" s="16" t="str">
        <x:v>C-05</x:v>
      </x:c>
      <x:c r="B54" s="16" t="str">
        <x:v>Install Zigbee Dimmer</x:v>
      </x:c>
      <x:c r="C54" s="16" t="n">
        <x:v>1</x:v>
      </x:c>
      <x:c r="D54" s="18" t="n">
        <x:f>IFERROR(VLOOKUP(B54,'02_Labour_Library'!$A$2:$D$100,2,FALSE),0)</x:f>
        <x:v>0.25</x:v>
      </x:c>
      <x:c r="E54" s="18" t="n">
        <x:f t="shared" si="0">C54*D54</x:f>
        <x:v>0.25</x:v>
      </x:c>
      <x:c r="F54" s="20" t="n">
        <x:f>'01_Settings'!$B$6</x:f>
        <x:v>82.5</x:v>
      </x:c>
      <x:c r="G54" s="20" t="n">
        <x:f t="shared" si="1">E54*F54</x:f>
        <x:v>20.625</x:v>
      </x:c>
      <x:c r="H54" s="16" t="str">
        <x:v>Standard</x:v>
      </x:c>
    </x:row>
    <x:row r="55" ht="16.799999237060547" hidden="0" customHeight="1">
      <x:c r="A55" s="16" t="str">
        <x:v>C-05</x:v>
      </x:c>
      <x:c r="B55" s="16" t="str">
        <x:v>Install Occupancy Sensor</x:v>
      </x:c>
      <x:c r="C55" s="16" t="n">
        <x:v>1</x:v>
      </x:c>
      <x:c r="D55" s="18" t="n">
        <x:f>IFERROR(VLOOKUP(B55,'02_Labour_Library'!$A$2:$D$100,2,FALSE),0)</x:f>
        <x:v>1</x:v>
      </x:c>
      <x:c r="E55" s="18" t="n">
        <x:f t="shared" si="0">C55*D55</x:f>
        <x:v>1</x:v>
      </x:c>
      <x:c r="F55" s="20" t="n">
        <x:f>'01_Settings'!$B$6</x:f>
        <x:v>82.5</x:v>
      </x:c>
      <x:c r="G55" s="20" t="n">
        <x:f t="shared" si="1">E55*F55</x:f>
        <x:v>82.5</x:v>
      </x:c>
      <x:c r="H55" s="16" t="str">
        <x:v>Standard</x:v>
      </x:c>
    </x:row>
    <x:row r="56" ht="16.799999237060547" hidden="0" customHeight="1">
      <x:c r="A56" s="16" t="str">
        <x:v>C-05</x:v>
      </x:c>
      <x:c r="B56" s="16" t="str">
        <x:v>Install RGBW Controller</x:v>
      </x:c>
      <x:c r="C56" s="16" t="n">
        <x:v>1</x:v>
      </x:c>
      <x:c r="D56" s="18" t="n">
        <x:f>IFERROR(VLOOKUP(B56,'02_Labour_Library'!$A$2:$D$100,2,FALSE),0)</x:f>
        <x:v>0.25</x:v>
      </x:c>
      <x:c r="E56" s="18" t="n">
        <x:f t="shared" si="0">C56*D56</x:f>
        <x:v>0.25</x:v>
      </x:c>
      <x:c r="F56" s="20" t="n">
        <x:f>'01_Settings'!$B$6</x:f>
        <x:v>82.5</x:v>
      </x:c>
      <x:c r="G56" s="20" t="n">
        <x:f t="shared" si="1">E56*F56</x:f>
        <x:v>20.625</x:v>
      </x:c>
      <x:c r="H56" s="16" t="str">
        <x:v>Standard</x:v>
      </x:c>
    </x:row>
    <x:row r="57" ht="16.799999237060547" hidden="0" customHeight="1">
      <x:c r="A57" s="16" t="str">
        <x:v>C-05</x:v>
      </x:c>
      <x:c r="B57" s="16" t="str">
        <x:v>Install 24V Power Supply</x:v>
      </x:c>
      <x:c r="C57" s="16" t="n">
        <x:v>1</x:v>
      </x:c>
      <x:c r="D57" s="18" t="n">
        <x:f>IFERROR(VLOOKUP(B57,'02_Labour_Library'!$A$2:$D$100,2,FALSE),0)</x:f>
        <x:v>0.25</x:v>
      </x:c>
      <x:c r="E57" s="18" t="n">
        <x:f t="shared" si="0">C57*D57</x:f>
        <x:v>0.25</x:v>
      </x:c>
      <x:c r="F57" s="20" t="n">
        <x:f>'01_Settings'!$B$6</x:f>
        <x:v>82.5</x:v>
      </x:c>
      <x:c r="G57" s="20" t="n">
        <x:f t="shared" si="1">E57*F57</x:f>
        <x:v>20.625</x:v>
      </x:c>
      <x:c r="H57" s="16" t="str">
        <x:v>Standard</x:v>
      </x:c>
    </x:row>
    <x:row r="58" ht="16.799999237060547" hidden="0" customHeight="1">
      <x:c r="A58" s="16" t="str">
        <x:v>C-05</x:v>
      </x:c>
      <x:c r="B58" s="16" t="str">
        <x:v>Install Flexible LED Zone</x:v>
      </x:c>
      <x:c r="C58" s="16" t="n">
        <x:v>1</x:v>
      </x:c>
      <x:c r="D58" s="18" t="n">
        <x:f>IFERROR(VLOOKUP(B58,'02_Labour_Library'!$A$2:$D$100,2,FALSE),0)</x:f>
        <x:v>0.5</x:v>
      </x:c>
      <x:c r="E58" s="18" t="n">
        <x:f t="shared" si="0">C58*D58</x:f>
        <x:v>0.5</x:v>
      </x:c>
      <x:c r="F58" s="20" t="n">
        <x:f>'01_Settings'!$B$6</x:f>
        <x:v>82.5</x:v>
      </x:c>
      <x:c r="G58" s="20" t="n">
        <x:f t="shared" si="1">E58*F58</x:f>
        <x:v>41.25</x:v>
      </x:c>
      <x:c r="H58" s="16" t="str">
        <x:v>Standard</x:v>
      </x:c>
    </x:row>
    <x:row r="59" ht="16.799999237060547" hidden="0" customHeight="1">
      <x:c r="A59" s="16" t="str">
        <x:v>C-05</x:v>
      </x:c>
      <x:c r="B59" s="16" t="str">
        <x:v>Programming - Collection</x:v>
      </x:c>
      <x:c r="C59" s="16" t="n">
        <x:v>1</x:v>
      </x:c>
      <x:c r="D59" s="18" t="n">
        <x:f>IFERROR(VLOOKUP(B59,'02_Labour_Library'!$A$2:$D$100,2,FALSE),0)</x:f>
        <x:v>1</x:v>
      </x:c>
      <x:c r="E59" s="18" t="n">
        <x:f t="shared" si="0">C59*D59</x:f>
        <x:v>1</x:v>
      </x:c>
      <x:c r="F59" s="20" t="n">
        <x:f>'01_Settings'!$B$6</x:f>
        <x:v>82.5</x:v>
      </x:c>
      <x:c r="G59" s="20" t="n">
        <x:f t="shared" si="1">E59*F59</x:f>
        <x:v>82.5</x:v>
      </x:c>
      <x:c r="H59" s="16" t="str">
        <x:v>Standard</x:v>
      </x:c>
    </x:row>
    <x:row r="60" ht="16.799999237060547" hidden="0" customHeight="1">
      <x:c r="A60" s="16" t="str">
        <x:v>C-05</x:v>
      </x:c>
      <x:c r="B60" s="16" t="str">
        <x:v>Testing</x:v>
      </x:c>
      <x:c r="C60" s="16" t="n">
        <x:v>1</x:v>
      </x:c>
      <x:c r="D60" s="18" t="n">
        <x:f>IFERROR(VLOOKUP(B60,'02_Labour_Library'!$A$2:$D$100,2,FALSE),0)</x:f>
        <x:v>0.5</x:v>
      </x:c>
      <x:c r="E60" s="18" t="n">
        <x:f t="shared" si="0">C60*D60</x:f>
        <x:v>0.5</x:v>
      </x:c>
      <x:c r="F60" s="20" t="n">
        <x:f>'01_Settings'!$B$6</x:f>
        <x:v>82.5</x:v>
      </x:c>
      <x:c r="G60" s="20" t="n">
        <x:f t="shared" si="1">E60*F60</x:f>
        <x:v>41.25</x:v>
      </x:c>
      <x:c r="H60" s="16" t="str">
        <x:v>Standard</x:v>
      </x:c>
    </x:row>
    <x:row r="61" ht="16.799999237060547" hidden="0" customHeight="1">
      <x:c r="A61" s="16" t="str">
        <x:v>C-05</x:v>
      </x:c>
      <x:c r="B61" s="16" t="str">
        <x:v>Customer Training</x:v>
      </x:c>
      <x:c r="C61" s="16" t="n">
        <x:v>1</x:v>
      </x:c>
      <x:c r="D61" s="18" t="n">
        <x:f>IFERROR(VLOOKUP(B61,'02_Labour_Library'!$A$2:$D$100,2,FALSE),0)</x:f>
        <x:v>0.5</x:v>
      </x:c>
      <x:c r="E61" s="18" t="n">
        <x:f t="shared" si="0">C61*D61</x:f>
        <x:v>0.5</x:v>
      </x:c>
      <x:c r="F61" s="20" t="n">
        <x:f>'01_Settings'!$B$6</x:f>
        <x:v>82.5</x:v>
      </x:c>
      <x:c r="G61" s="20" t="n">
        <x:f t="shared" si="1">E61*F61</x:f>
        <x:v>41.25</x:v>
      </x:c>
      <x:c r="H61" s="16" t="str">
        <x:v>Standard</x:v>
      </x:c>
    </x:row>
    <x:row r="62" ht="16.799999237060547" hidden="0" customHeight="1">
      <x:c r="A62" s="16" t="str">
        <x:v>C-06</x:v>
      </x:c>
      <x:c r="B62" s="16" t="str">
        <x:v>Install Door / Window Contact</x:v>
      </x:c>
      <x:c r="C62" s="16" t="n">
        <x:v>4</x:v>
      </x:c>
      <x:c r="D62" s="18" t="n">
        <x:f>IFERROR(VLOOKUP(B62,'02_Labour_Library'!$A$2:$D$100,2,FALSE),0)</x:f>
        <x:v>0.0833</x:v>
      </x:c>
      <x:c r="E62" s="18" t="n">
        <x:f t="shared" si="0">C62*D62</x:f>
        <x:v>0.3332</x:v>
      </x:c>
      <x:c r="F62" s="20" t="n">
        <x:f>'01_Settings'!$B$6</x:f>
        <x:v>82.5</x:v>
      </x:c>
      <x:c r="G62" s="20" t="n">
        <x:f t="shared" si="1">E62*F62</x:f>
        <x:v>27.489</x:v>
      </x:c>
      <x:c r="H62" s="16" t="str">
        <x:v>Standard</x:v>
      </x:c>
    </x:row>
    <x:row r="63" ht="16.799999237060547" hidden="0" customHeight="1">
      <x:c r="A63" s="16" t="str">
        <x:v>C-06</x:v>
      </x:c>
      <x:c r="B63" s="16" t="str">
        <x:v>Programming - Collection</x:v>
      </x:c>
      <x:c r="C63" s="16" t="n">
        <x:v>3</x:v>
      </x:c>
      <x:c r="D63" s="18" t="n">
        <x:f>IFERROR(VLOOKUP(B63,'02_Labour_Library'!$A$2:$D$100,2,FALSE),0)</x:f>
        <x:v>1</x:v>
      </x:c>
      <x:c r="E63" s="18" t="n">
        <x:f t="shared" si="0">C63*D63</x:f>
        <x:v>3</x:v>
      </x:c>
      <x:c r="F63" s="20" t="n">
        <x:f>'01_Settings'!$B$6</x:f>
        <x:v>82.5</x:v>
      </x:c>
      <x:c r="G63" s="20" t="n">
        <x:f t="shared" si="1">E63*F63</x:f>
        <x:v>247.5</x:v>
      </x:c>
      <x:c r="H63" s="16" t="str">
        <x:v>Whole-home logic</x:v>
      </x:c>
    </x:row>
    <x:row r="64" ht="16.799999237060547" hidden="0" customHeight="1">
      <x:c r="A64" s="16" t="str">
        <x:v>C-06</x:v>
      </x:c>
      <x:c r="B64" s="16" t="str">
        <x:v>Testing</x:v>
      </x:c>
      <x:c r="C64" s="16" t="n">
        <x:v>2</x:v>
      </x:c>
      <x:c r="D64" s="18" t="n">
        <x:f>IFERROR(VLOOKUP(B64,'02_Labour_Library'!$A$2:$D$100,2,FALSE),0)</x:f>
        <x:v>0.5</x:v>
      </x:c>
      <x:c r="E64" s="18" t="n">
        <x:f t="shared" si="0">C64*D64</x:f>
        <x:v>1</x:v>
      </x:c>
      <x:c r="F64" s="20" t="n">
        <x:f>'01_Settings'!$B$6</x:f>
        <x:v>82.5</x:v>
      </x:c>
      <x:c r="G64" s="20" t="n">
        <x:f t="shared" si="1">E64*F64</x:f>
        <x:v>82.5</x:v>
      </x:c>
      <x:c r="H64" s="16" t="str">
        <x:v>Whole-home test</x:v>
      </x:c>
    </x:row>
    <x:row r="65" ht="16.799999237060547" hidden="0" customHeight="1">
      <x:c r="A65" s="16" t="str">
        <x:v>C-06</x:v>
      </x:c>
      <x:c r="B65" s="16" t="str">
        <x:v>Customer Training</x:v>
      </x:c>
      <x:c r="C65" s="16" t="n">
        <x:v>1</x:v>
      </x:c>
      <x:c r="D65" s="18" t="n">
        <x:f>IFERROR(VLOOKUP(B65,'02_Labour_Library'!$A$2:$D$100,2,FALSE),0)</x:f>
        <x:v>0.5</x:v>
      </x:c>
      <x:c r="E65" s="18" t="n">
        <x:f t="shared" si="0">C65*D65</x:f>
        <x:v>0.5</x:v>
      </x:c>
      <x:c r="F65" s="20" t="n">
        <x:f>'01_Settings'!$B$6</x:f>
        <x:v>82.5</x:v>
      </x:c>
      <x:c r="G65" s="20" t="n">
        <x:f t="shared" si="1">E65*F65</x:f>
        <x:v>41.25</x:v>
      </x:c>
      <x:c r="H65" s="16" t="str">
        <x:v>Standard</x:v>
      </x:c>
    </x:row>
    <x:row r="66" ht="16.799999237060547" hidden="0" customHeight="1">
      <x:c r="A66" s="16" t="str">
        <x:v>E-01</x:v>
      </x:c>
      <x:c r="B66" s="16" t="str">
        <x:v>Install RGBW Controller</x:v>
      </x:c>
      <x:c r="C66" s="16" t="n">
        <x:v>2</x:v>
      </x:c>
      <x:c r="D66" s="18" t="n">
        <x:f>IFERROR(VLOOKUP(B66,'02_Labour_Library'!$A$2:$D$100,2,FALSE),0)</x:f>
        <x:v>0.25</x:v>
      </x:c>
      <x:c r="E66" s="18" t="n">
        <x:f t="shared" ref="E66:E109" si="2">C66*D66</x:f>
        <x:v>0.5</x:v>
      </x:c>
      <x:c r="F66" s="20" t="n">
        <x:f>'01_Settings'!$B$6</x:f>
        <x:v>82.5</x:v>
      </x:c>
      <x:c r="G66" s="20" t="n">
        <x:f t="shared" ref="G66:G109" si="3">E66*F66</x:f>
        <x:v>41.25</x:v>
      </x:c>
      <x:c r="H66" s="16" t="str">
        <x:v>Two zones</x:v>
      </x:c>
    </x:row>
    <x:row r="67" ht="16.799999237060547" hidden="0" customHeight="1">
      <x:c r="A67" s="16" t="str">
        <x:v>E-01</x:v>
      </x:c>
      <x:c r="B67" s="16" t="str">
        <x:v>Install 24V Power Supply</x:v>
      </x:c>
      <x:c r="C67" s="16" t="n">
        <x:v>2</x:v>
      </x:c>
      <x:c r="D67" s="18" t="n">
        <x:f>IFERROR(VLOOKUP(B67,'02_Labour_Library'!$A$2:$D$100,2,FALSE),0)</x:f>
        <x:v>0.25</x:v>
      </x:c>
      <x:c r="E67" s="18" t="n">
        <x:f t="shared" si="2">C67*D67</x:f>
        <x:v>0.5</x:v>
      </x:c>
      <x:c r="F67" s="20" t="n">
        <x:f>'01_Settings'!$B$6</x:f>
        <x:v>82.5</x:v>
      </x:c>
      <x:c r="G67" s="20" t="n">
        <x:f t="shared" si="3">E67*F67</x:f>
        <x:v>41.25</x:v>
      </x:c>
      <x:c r="H67" s="16" t="str">
        <x:v>Two zones</x:v>
      </x:c>
    </x:row>
    <x:row r="68" ht="16.799999237060547" hidden="0" customHeight="1">
      <x:c r="A68" s="16" t="str">
        <x:v>E-01</x:v>
      </x:c>
      <x:c r="B68" s="16" t="str">
        <x:v>Install Flexible LED Zone</x:v>
      </x:c>
      <x:c r="C68" s="16" t="n">
        <x:v>2</x:v>
      </x:c>
      <x:c r="D68" s="18" t="n">
        <x:f>IFERROR(VLOOKUP(B68,'02_Labour_Library'!$A$2:$D$100,2,FALSE),0)</x:f>
        <x:v>0.5</x:v>
      </x:c>
      <x:c r="E68" s="18" t="n">
        <x:f t="shared" si="2">C68*D68</x:f>
        <x:v>1</x:v>
      </x:c>
      <x:c r="F68" s="20" t="n">
        <x:f>'01_Settings'!$B$6</x:f>
        <x:v>82.5</x:v>
      </x:c>
      <x:c r="G68" s="20" t="n">
        <x:f t="shared" si="3">E68*F68</x:f>
        <x:v>82.5</x:v>
      </x:c>
      <x:c r="H68" s="16" t="str">
        <x:v>Two zones</x:v>
      </x:c>
    </x:row>
    <x:row r="69" ht="16.799999237060547" hidden="0" customHeight="1">
      <x:c r="A69" s="16" t="str">
        <x:v>E-01</x:v>
      </x:c>
      <x:c r="B69" s="16" t="str">
        <x:v>Programming - Collection</x:v>
      </x:c>
      <x:c r="C69" s="16" t="n">
        <x:v>2</x:v>
      </x:c>
      <x:c r="D69" s="18" t="n">
        <x:f>IFERROR(VLOOKUP(B69,'02_Labour_Library'!$A$2:$D$100,2,FALSE),0)</x:f>
        <x:v>1</x:v>
      </x:c>
      <x:c r="E69" s="18" t="n">
        <x:f t="shared" si="2">C69*D69</x:f>
        <x:v>2</x:v>
      </x:c>
      <x:c r="F69" s="20" t="n">
        <x:f>'01_Settings'!$B$6</x:f>
        <x:v>82.5</x:v>
      </x:c>
      <x:c r="G69" s="20" t="n">
        <x:f t="shared" si="3">E69*F69</x:f>
        <x:v>165</x:v>
      </x:c>
      <x:c r="H69" s="16" t="str">
        <x:v>Mood scenes</x:v>
      </x:c>
    </x:row>
    <x:row r="70" ht="16.799999237060547" hidden="0" customHeight="1">
      <x:c r="A70" s="16" t="str">
        <x:v>E-01</x:v>
      </x:c>
      <x:c r="B70" s="16" t="str">
        <x:v>Testing</x:v>
      </x:c>
      <x:c r="C70" s="16" t="n">
        <x:v>1</x:v>
      </x:c>
      <x:c r="D70" s="18" t="n">
        <x:f>IFERROR(VLOOKUP(B70,'02_Labour_Library'!$A$2:$D$100,2,FALSE),0)</x:f>
        <x:v>0.5</x:v>
      </x:c>
      <x:c r="E70" s="18" t="n">
        <x:f t="shared" si="2">C70*D70</x:f>
        <x:v>0.5</x:v>
      </x:c>
      <x:c r="F70" s="20" t="n">
        <x:f>'01_Settings'!$B$6</x:f>
        <x:v>82.5</x:v>
      </x:c>
      <x:c r="G70" s="20" t="n">
        <x:f t="shared" si="3">E70*F70</x:f>
        <x:v>41.25</x:v>
      </x:c>
      <x:c r="H70" s="16" t="str">
        <x:v>Standard</x:v>
      </x:c>
    </x:row>
    <x:row r="71" ht="16.799999237060547" hidden="0" customHeight="1">
      <x:c r="A71" s="16" t="str">
        <x:v>E-01</x:v>
      </x:c>
      <x:c r="B71" s="16" t="str">
        <x:v>Customer Training</x:v>
      </x:c>
      <x:c r="C71" s="16" t="n">
        <x:v>1</x:v>
      </x:c>
      <x:c r="D71" s="18" t="n">
        <x:f>IFERROR(VLOOKUP(B71,'02_Labour_Library'!$A$2:$D$100,2,FALSE),0)</x:f>
        <x:v>0.5</x:v>
      </x:c>
      <x:c r="E71" s="18" t="n">
        <x:f t="shared" si="2">C71*D71</x:f>
        <x:v>0.5</x:v>
      </x:c>
      <x:c r="F71" s="20" t="n">
        <x:f>'01_Settings'!$B$6</x:f>
        <x:v>82.5</x:v>
      </x:c>
      <x:c r="G71" s="20" t="n">
        <x:f t="shared" si="3">E71*F71</x:f>
        <x:v>41.25</x:v>
      </x:c>
      <x:c r="H71" s="16" t="str">
        <x:v>Standard</x:v>
      </x:c>
    </x:row>
    <x:row r="72" ht="16.799999237060547" hidden="0" customHeight="1">
      <x:c r="A72" s="16" t="str">
        <x:v>E-02</x:v>
      </x:c>
      <x:c r="B72" s="16" t="str">
        <x:v>Install Climate Controllers</x:v>
      </x:c>
      <x:c r="C72" s="16" t="n">
        <x:v>1</x:v>
      </x:c>
      <x:c r="D72" s="18" t="n">
        <x:f>IFERROR(VLOOKUP(B72,'02_Labour_Library'!$A$2:$D$100,2,FALSE),0)</x:f>
        <x:v>4</x:v>
      </x:c>
      <x:c r="E72" s="18" t="n">
        <x:f t="shared" si="2">C72*D72</x:f>
        <x:v>4</x:v>
      </x:c>
      <x:c r="F72" s="20" t="n">
        <x:f>'01_Settings'!$B$6</x:f>
        <x:v>82.5</x:v>
      </x:c>
      <x:c r="G72" s="20" t="n">
        <x:f t="shared" si="3">E72*F72</x:f>
        <x:v>330</x:v>
      </x:c>
      <x:c r="H72" s="16" t="str">
        <x:v>Standard</x:v>
      </x:c>
    </x:row>
    <x:row r="73" ht="16.799999237060547" hidden="0" customHeight="1">
      <x:c r="A73" s="16" t="str">
        <x:v>E-02</x:v>
      </x:c>
      <x:c r="B73" s="16" t="str">
        <x:v>Program and Commission Climate</x:v>
      </x:c>
      <x:c r="C73" s="16" t="n">
        <x:v>1</x:v>
      </x:c>
      <x:c r="D73" s="18" t="n">
        <x:f>IFERROR(VLOOKUP(B73,'02_Labour_Library'!$A$2:$D$100,2,FALSE),0)</x:f>
        <x:v>4</x:v>
      </x:c>
      <x:c r="E73" s="18" t="n">
        <x:f t="shared" si="2">C73*D73</x:f>
        <x:v>4</x:v>
      </x:c>
      <x:c r="F73" s="20" t="n">
        <x:f>'01_Settings'!$B$6</x:f>
        <x:v>82.5</x:v>
      </x:c>
      <x:c r="G73" s="20" t="n">
        <x:f t="shared" si="3">E73*F73</x:f>
        <x:v>330</x:v>
      </x:c>
      <x:c r="H73" s="16" t="str">
        <x:v>Standard</x:v>
      </x:c>
    </x:row>
    <x:row r="74" ht="16.799999237060547" hidden="0" customHeight="1">
      <x:c r="A74" s="16" t="str">
        <x:v>E-02</x:v>
      </x:c>
      <x:c r="B74" s="16" t="str">
        <x:v>Testing</x:v>
      </x:c>
      <x:c r="C74" s="16" t="n">
        <x:v>1</x:v>
      </x:c>
      <x:c r="D74" s="18" t="n">
        <x:f>IFERROR(VLOOKUP(B74,'02_Labour_Library'!$A$2:$D$100,2,FALSE),0)</x:f>
        <x:v>0.5</x:v>
      </x:c>
      <x:c r="E74" s="18" t="n">
        <x:f t="shared" si="2">C74*D74</x:f>
        <x:v>0.5</x:v>
      </x:c>
      <x:c r="F74" s="20" t="n">
        <x:f>'01_Settings'!$B$6</x:f>
        <x:v>82.5</x:v>
      </x:c>
      <x:c r="G74" s="20" t="n">
        <x:f t="shared" si="3">E74*F74</x:f>
        <x:v>41.25</x:v>
      </x:c>
      <x:c r="H74" s="16" t="str">
        <x:v>Standard</x:v>
      </x:c>
    </x:row>
    <x:row r="75" ht="16.799999237060547" hidden="0" customHeight="1">
      <x:c r="A75" s="16" t="str">
        <x:v>E-02</x:v>
      </x:c>
      <x:c r="B75" s="16" t="str">
        <x:v>Customer Training</x:v>
      </x:c>
      <x:c r="C75" s="16" t="n">
        <x:v>1</x:v>
      </x:c>
      <x:c r="D75" s="18" t="n">
        <x:f>IFERROR(VLOOKUP(B75,'02_Labour_Library'!$A$2:$D$100,2,FALSE),0)</x:f>
        <x:v>0.5</x:v>
      </x:c>
      <x:c r="E75" s="18" t="n">
        <x:f t="shared" si="2">C75*D75</x:f>
        <x:v>0.5</x:v>
      </x:c>
      <x:c r="F75" s="20" t="n">
        <x:f>'01_Settings'!$B$6</x:f>
        <x:v>82.5</x:v>
      </x:c>
      <x:c r="G75" s="20" t="n">
        <x:f t="shared" si="3">E75*F75</x:f>
        <x:v>41.25</x:v>
      </x:c>
      <x:c r="H75" s="16" t="str">
        <x:v>Standard</x:v>
      </x:c>
    </x:row>
    <x:row r="76" ht="16.799999237060547" hidden="0" customHeight="1">
      <x:c r="A76" s="16" t="str">
        <x:v>E-03</x:v>
      </x:c>
      <x:c r="B76" s="16" t="str">
        <x:v>Install Healthy Air Zone</x:v>
      </x:c>
      <x:c r="C76" s="16" t="n">
        <x:v>1</x:v>
      </x:c>
      <x:c r="D76" s="18" t="n">
        <x:f>IFERROR(VLOOKUP(B76,'02_Labour_Library'!$A$2:$D$100,2,FALSE),0)</x:f>
        <x:v>10</x:v>
      </x:c>
      <x:c r="E76" s="18" t="n">
        <x:f t="shared" si="2">C76*D76</x:f>
        <x:v>10</x:v>
      </x:c>
      <x:c r="F76" s="20" t="n">
        <x:f>'01_Settings'!$B$6</x:f>
        <x:v>82.5</x:v>
      </x:c>
      <x:c r="G76" s="20" t="n">
        <x:f t="shared" si="3">E76*F76</x:f>
        <x:v>825</x:v>
      </x:c>
      <x:c r="H76" s="16" t="str">
        <x:v>Standard</x:v>
      </x:c>
    </x:row>
    <x:row r="77" ht="16.799999237060547" hidden="0" customHeight="1">
      <x:c r="A77" s="16" t="str">
        <x:v>E-03</x:v>
      </x:c>
      <x:c r="B77" s="16" t="str">
        <x:v>Program and Commission Healthy Air</x:v>
      </x:c>
      <x:c r="C77" s="16" t="n">
        <x:v>1</x:v>
      </x:c>
      <x:c r="D77" s="18" t="n">
        <x:f>IFERROR(VLOOKUP(B77,'02_Labour_Library'!$A$2:$D$100,2,FALSE),0)</x:f>
        <x:v>2</x:v>
      </x:c>
      <x:c r="E77" s="18" t="n">
        <x:f t="shared" si="2">C77*D77</x:f>
        <x:v>2</x:v>
      </x:c>
      <x:c r="F77" s="20" t="n">
        <x:f>'01_Settings'!$B$6</x:f>
        <x:v>82.5</x:v>
      </x:c>
      <x:c r="G77" s="20" t="n">
        <x:f t="shared" si="3">E77*F77</x:f>
        <x:v>165</x:v>
      </x:c>
      <x:c r="H77" s="16" t="str">
        <x:v>Standard</x:v>
      </x:c>
    </x:row>
    <x:row r="78" ht="16.799999237060547" hidden="0" customHeight="1">
      <x:c r="A78" s="16" t="str">
        <x:v>E-03</x:v>
      </x:c>
      <x:c r="B78" s="16" t="str">
        <x:v>Testing</x:v>
      </x:c>
      <x:c r="C78" s="16" t="n">
        <x:v>1</x:v>
      </x:c>
      <x:c r="D78" s="18" t="n">
        <x:f>IFERROR(VLOOKUP(B78,'02_Labour_Library'!$A$2:$D$100,2,FALSE),0)</x:f>
        <x:v>0.5</x:v>
      </x:c>
      <x:c r="E78" s="18" t="n">
        <x:f t="shared" si="2">C78*D78</x:f>
        <x:v>0.5</x:v>
      </x:c>
      <x:c r="F78" s="20" t="n">
        <x:f>'01_Settings'!$B$6</x:f>
        <x:v>82.5</x:v>
      </x:c>
      <x:c r="G78" s="20" t="n">
        <x:f t="shared" si="3">E78*F78</x:f>
        <x:v>41.25</x:v>
      </x:c>
      <x:c r="H78" s="16" t="str">
        <x:v>Standard</x:v>
      </x:c>
    </x:row>
    <x:row r="79" ht="16.799999237060547" hidden="0" customHeight="1">
      <x:c r="A79" s="16" t="str">
        <x:v>E-03</x:v>
      </x:c>
      <x:c r="B79" s="16" t="str">
        <x:v>Customer Training</x:v>
      </x:c>
      <x:c r="C79" s="16" t="n">
        <x:v>1</x:v>
      </x:c>
      <x:c r="D79" s="18" t="n">
        <x:f>IFERROR(VLOOKUP(B79,'02_Labour_Library'!$A$2:$D$100,2,FALSE),0)</x:f>
        <x:v>0.5</x:v>
      </x:c>
      <x:c r="E79" s="18" t="n">
        <x:f t="shared" si="2">C79*D79</x:f>
        <x:v>0.5</x:v>
      </x:c>
      <x:c r="F79" s="20" t="n">
        <x:f>'01_Settings'!$B$6</x:f>
        <x:v>82.5</x:v>
      </x:c>
      <x:c r="G79" s="20" t="n">
        <x:f t="shared" si="3">E79*F79</x:f>
        <x:v>41.25</x:v>
      </x:c>
      <x:c r="H79" s="16" t="str">
        <x:v>Standard</x:v>
      </x:c>
    </x:row>
    <x:row r="80" ht="16.799999237060547" hidden="0" customHeight="1">
      <x:c r="A80" s="16" t="str">
        <x:v>E-04</x:v>
      </x:c>
      <x:c r="B80" s="16" t="str">
        <x:v>Install Garden Control Infrastructure</x:v>
      </x:c>
      <x:c r="C80" s="16" t="n">
        <x:v>1</x:v>
      </x:c>
      <x:c r="D80" s="18" t="n">
        <x:f>IFERROR(VLOOKUP(B80,'02_Labour_Library'!$A$2:$D$100,2,FALSE),0)</x:f>
        <x:v>6</x:v>
      </x:c>
      <x:c r="E80" s="18" t="n">
        <x:f t="shared" si="2">C80*D80</x:f>
        <x:v>6</x:v>
      </x:c>
      <x:c r="F80" s="20" t="n">
        <x:f>'01_Settings'!$B$6</x:f>
        <x:v>82.5</x:v>
      </x:c>
      <x:c r="G80" s="20" t="n">
        <x:f t="shared" si="3">E80*F80</x:f>
        <x:v>495</x:v>
      </x:c>
      <x:c r="H80" s="16" t="str">
        <x:v>Standard</x:v>
      </x:c>
    </x:row>
    <x:row r="81" ht="16.799999237060547" hidden="0" customHeight="1">
      <x:c r="A81" s="16" t="str">
        <x:v>E-04</x:v>
      </x:c>
      <x:c r="B81" s="16" t="str">
        <x:v>Program Garden Care</x:v>
      </x:c>
      <x:c r="C81" s="16" t="n">
        <x:v>1</x:v>
      </x:c>
      <x:c r="D81" s="18" t="n">
        <x:f>IFERROR(VLOOKUP(B81,'02_Labour_Library'!$A$2:$D$100,2,FALSE),0)</x:f>
        <x:v>2</x:v>
      </x:c>
      <x:c r="E81" s="18" t="n">
        <x:f t="shared" si="2">C81*D81</x:f>
        <x:v>2</x:v>
      </x:c>
      <x:c r="F81" s="20" t="n">
        <x:f>'01_Settings'!$B$6</x:f>
        <x:v>82.5</x:v>
      </x:c>
      <x:c r="G81" s="20" t="n">
        <x:f t="shared" si="3">E81*F81</x:f>
        <x:v>165</x:v>
      </x:c>
      <x:c r="H81" s="16" t="str">
        <x:v>Four zones</x:v>
      </x:c>
    </x:row>
    <x:row r="82" ht="16.799999237060547" hidden="0" customHeight="1">
      <x:c r="A82" s="16" t="str">
        <x:v>E-04</x:v>
      </x:c>
      <x:c r="B82" s="16" t="str">
        <x:v>Testing</x:v>
      </x:c>
      <x:c r="C82" s="16" t="n">
        <x:v>1</x:v>
      </x:c>
      <x:c r="D82" s="18" t="n">
        <x:f>IFERROR(VLOOKUP(B82,'02_Labour_Library'!$A$2:$D$100,2,FALSE),0)</x:f>
        <x:v>0.5</x:v>
      </x:c>
      <x:c r="E82" s="18" t="n">
        <x:f t="shared" si="2">C82*D82</x:f>
        <x:v>0.5</x:v>
      </x:c>
      <x:c r="F82" s="20" t="n">
        <x:f>'01_Settings'!$B$6</x:f>
        <x:v>82.5</x:v>
      </x:c>
      <x:c r="G82" s="20" t="n">
        <x:f t="shared" si="3">E82*F82</x:f>
        <x:v>41.25</x:v>
      </x:c>
      <x:c r="H82" s="16" t="str">
        <x:v>Standard</x:v>
      </x:c>
    </x:row>
    <x:row r="83" ht="16.799999237060547" hidden="0" customHeight="1">
      <x:c r="A83" s="16" t="str">
        <x:v>E-04</x:v>
      </x:c>
      <x:c r="B83" s="16" t="str">
        <x:v>Customer Training</x:v>
      </x:c>
      <x:c r="C83" s="16" t="n">
        <x:v>1</x:v>
      </x:c>
      <x:c r="D83" s="18" t="n">
        <x:f>IFERROR(VLOOKUP(B83,'02_Labour_Library'!$A$2:$D$100,2,FALSE),0)</x:f>
        <x:v>0.5</x:v>
      </x:c>
      <x:c r="E83" s="18" t="n">
        <x:f t="shared" si="2">C83*D83</x:f>
        <x:v>0.5</x:v>
      </x:c>
      <x:c r="F83" s="20" t="n">
        <x:f>'01_Settings'!$B$6</x:f>
        <x:v>82.5</x:v>
      </x:c>
      <x:c r="G83" s="20" t="n">
        <x:f t="shared" si="3">E83*F83</x:f>
        <x:v>41.25</x:v>
      </x:c>
      <x:c r="H83" s="16" t="str">
        <x:v>Standard</x:v>
      </x:c>
    </x:row>
    <x:row r="84" ht="16.799999237060547" hidden="0" customHeight="1">
      <x:c r="A84" s="16" t="str">
        <x:v>E-06</x:v>
      </x:c>
      <x:c r="B84" s="16" t="str">
        <x:v>Install CCTV Camera and Cable</x:v>
      </x:c>
      <x:c r="C84" s="16" t="n">
        <x:v>4</x:v>
      </x:c>
      <x:c r="D84" s="18" t="n">
        <x:f>IFERROR(VLOOKUP(B84,'02_Labour_Library'!$A$2:$D$100,2,FALSE),0)</x:f>
        <x:v>1.5</x:v>
      </x:c>
      <x:c r="E84" s="18" t="n">
        <x:f t="shared" si="2">C84*D84</x:f>
        <x:v>6</x:v>
      </x:c>
      <x:c r="F84" s="20" t="n">
        <x:f>'01_Settings'!$B$6</x:f>
        <x:v>82.5</x:v>
      </x:c>
      <x:c r="G84" s="20" t="n">
        <x:f t="shared" si="3">E84*F84</x:f>
        <x:v>495</x:v>
      </x:c>
      <x:c r="H84" s="16" t="str">
        <x:v>Four cameras</x:v>
      </x:c>
    </x:row>
    <x:row r="85" ht="16.799999237060547" hidden="0" customHeight="1">
      <x:c r="A85" s="16" t="str">
        <x:v>E-06</x:v>
      </x:c>
      <x:c r="B85" s="16" t="str">
        <x:v>Configure CCTV NVR</x:v>
      </x:c>
      <x:c r="C85" s="16" t="n">
        <x:v>1</x:v>
      </x:c>
      <x:c r="D85" s="18" t="n">
        <x:f>IFERROR(VLOOKUP(B85,'02_Labour_Library'!$A$2:$D$100,2,FALSE),0)</x:f>
        <x:v>2</x:v>
      </x:c>
      <x:c r="E85" s="18" t="n">
        <x:f t="shared" si="2">C85*D85</x:f>
        <x:v>2</x:v>
      </x:c>
      <x:c r="F85" s="20" t="n">
        <x:f>'01_Settings'!$B$6</x:f>
        <x:v>82.5</x:v>
      </x:c>
      <x:c r="G85" s="20" t="n">
        <x:f t="shared" si="3">E85*F85</x:f>
        <x:v>165</x:v>
      </x:c>
      <x:c r="H85" s="16" t="str">
        <x:v>Standard</x:v>
      </x:c>
    </x:row>
    <x:row r="86" ht="16.799999237060547" hidden="0" customHeight="1">
      <x:c r="A86" s="16" t="str">
        <x:v>E-06</x:v>
      </x:c>
      <x:c r="B86" s="16" t="str">
        <x:v>Install Protection Input Interface</x:v>
      </x:c>
      <x:c r="C86" s="16" t="n">
        <x:v>1</x:v>
      </x:c>
      <x:c r="D86" s="18" t="n">
        <x:f>IFERROR(VLOOKUP(B86,'02_Labour_Library'!$A$2:$D$100,2,FALSE),0)</x:f>
        <x:v>1</x:v>
      </x:c>
      <x:c r="E86" s="18" t="n">
        <x:f t="shared" si="2">C86*D86</x:f>
        <x:v>1</x:v>
      </x:c>
      <x:c r="F86" s="20" t="n">
        <x:f>'01_Settings'!$B$6</x:f>
        <x:v>82.5</x:v>
      </x:c>
      <x:c r="G86" s="20" t="n">
        <x:f t="shared" si="3">E86*F86</x:f>
        <x:v>82.5</x:v>
      </x:c>
      <x:c r="H86" s="16" t="str">
        <x:v>Prepared for bonus</x:v>
      </x:c>
    </x:row>
    <x:row r="87" ht="16.799999237060547" hidden="0" customHeight="1">
      <x:c r="A87" s="16" t="str">
        <x:v>E-06</x:v>
      </x:c>
      <x:c r="B87" s="16" t="str">
        <x:v>Testing</x:v>
      </x:c>
      <x:c r="C87" s="16" t="n">
        <x:v>1</x:v>
      </x:c>
      <x:c r="D87" s="18" t="n">
        <x:f>IFERROR(VLOOKUP(B87,'02_Labour_Library'!$A$2:$D$100,2,FALSE),0)</x:f>
        <x:v>0.5</x:v>
      </x:c>
      <x:c r="E87" s="18" t="n">
        <x:f t="shared" si="2">C87*D87</x:f>
        <x:v>0.5</x:v>
      </x:c>
      <x:c r="F87" s="20" t="n">
        <x:f>'01_Settings'!$B$6</x:f>
        <x:v>82.5</x:v>
      </x:c>
      <x:c r="G87" s="20" t="n">
        <x:f t="shared" si="3">E87*F87</x:f>
        <x:v>41.25</x:v>
      </x:c>
      <x:c r="H87" s="16" t="str">
        <x:v>Standard</x:v>
      </x:c>
    </x:row>
    <x:row r="88" ht="16.799999237060547" hidden="0" customHeight="1">
      <x:c r="A88" s="16" t="str">
        <x:v>E-06</x:v>
      </x:c>
      <x:c r="B88" s="16" t="str">
        <x:v>Customer Training</x:v>
      </x:c>
      <x:c r="C88" s="16" t="n">
        <x:v>1</x:v>
      </x:c>
      <x:c r="D88" s="18" t="n">
        <x:f>IFERROR(VLOOKUP(B88,'02_Labour_Library'!$A$2:$D$100,2,FALSE),0)</x:f>
        <x:v>0.5</x:v>
      </x:c>
      <x:c r="E88" s="18" t="n">
        <x:f t="shared" si="2">C88*D88</x:f>
        <x:v>0.5</x:v>
      </x:c>
      <x:c r="F88" s="20" t="n">
        <x:f>'01_Settings'!$B$6</x:f>
        <x:v>82.5</x:v>
      </x:c>
      <x:c r="G88" s="20" t="n">
        <x:f t="shared" si="3">E88*F88</x:f>
        <x:v>41.25</x:v>
      </x:c>
      <x:c r="H88" s="16" t="str">
        <x:v>Standard</x:v>
      </x:c>
    </x:row>
    <x:row r="89">
      <x:c r="D89" s="9"/>
      <x:c r="E89" s="9">
        <x:f t="shared" si="2"/>
      </x:c>
      <x:c r="F89" s="10"/>
      <x:c r="G89" s="10">
        <x:f t="shared" si="3"/>
      </x:c>
    </x:row>
    <x:row r="90">
      <x:c r="D90" s="9"/>
      <x:c r="E90" s="9">
        <x:f t="shared" si="2"/>
      </x:c>
      <x:c r="F90" s="10"/>
      <x:c r="G90" s="10">
        <x:f t="shared" si="3"/>
      </x:c>
    </x:row>
    <x:row r="91">
      <x:c r="D91" s="9"/>
      <x:c r="E91" s="9">
        <x:f t="shared" si="2"/>
      </x:c>
      <x:c r="F91" s="10"/>
      <x:c r="G91" s="10">
        <x:f t="shared" si="3"/>
      </x:c>
    </x:row>
    <x:row r="92">
      <x:c r="D92" s="9"/>
      <x:c r="E92" s="9">
        <x:f t="shared" si="2"/>
      </x:c>
      <x:c r="F92" s="10"/>
      <x:c r="G92" s="10">
        <x:f t="shared" si="3"/>
      </x:c>
    </x:row>
    <x:row r="93">
      <x:c r="D93" s="9"/>
      <x:c r="E93" s="9">
        <x:f t="shared" si="2"/>
      </x:c>
      <x:c r="F93" s="10"/>
      <x:c r="G93" s="10">
        <x:f t="shared" si="3"/>
      </x:c>
    </x:row>
    <x:row r="94">
      <x:c r="D94" s="9"/>
      <x:c r="E94" s="9">
        <x:f t="shared" si="2"/>
      </x:c>
      <x:c r="F94" s="10"/>
      <x:c r="G94" s="10">
        <x:f t="shared" si="3"/>
      </x:c>
    </x:row>
    <x:row r="95">
      <x:c r="D95" s="9"/>
      <x:c r="E95" s="9">
        <x:f t="shared" si="2"/>
      </x:c>
      <x:c r="F95" s="10"/>
      <x:c r="G95" s="10">
        <x:f t="shared" si="3"/>
      </x:c>
    </x:row>
    <x:row r="96">
      <x:c r="D96" s="9"/>
      <x:c r="E96" s="9">
        <x:f t="shared" si="2"/>
      </x:c>
      <x:c r="F96" s="10"/>
      <x:c r="G96" s="10">
        <x:f t="shared" si="3"/>
      </x:c>
    </x:row>
    <x:row r="97">
      <x:c r="D97" s="9"/>
      <x:c r="E97" s="9">
        <x:f t="shared" si="2"/>
      </x:c>
      <x:c r="F97" s="10"/>
      <x:c r="G97" s="10">
        <x:f t="shared" si="3"/>
      </x:c>
    </x:row>
    <x:row r="98">
      <x:c r="D98" s="9"/>
      <x:c r="E98" s="9">
        <x:f t="shared" si="2"/>
      </x:c>
      <x:c r="F98" s="10"/>
      <x:c r="G98" s="10">
        <x:f t="shared" si="3"/>
      </x:c>
    </x:row>
    <x:row r="99">
      <x:c r="D99" s="9"/>
      <x:c r="E99" s="9">
        <x:f t="shared" si="2"/>
      </x:c>
      <x:c r="F99" s="10"/>
      <x:c r="G99" s="10">
        <x:f t="shared" si="3"/>
      </x:c>
    </x:row>
    <x:row r="100">
      <x:c r="A100"/>
      <x:c r="B100"/>
      <x:c r="C100"/>
      <x:c r="D100" s="9"/>
      <x:c r="E100" s="9">
        <x:f t="shared" si="2"/>
      </x:c>
      <x:c r="F100" s="10"/>
      <x:c r="G100" s="10">
        <x:f t="shared" si="3"/>
      </x:c>
      <x:c r="H100"/>
    </x:row>
    <x:row r="101">
      <x:c r="A101"/>
      <x:c r="B101"/>
      <x:c r="C101"/>
      <x:c r="D101" s="9"/>
      <x:c r="E101" s="9">
        <x:f t="shared" si="2"/>
      </x:c>
      <x:c r="F101" s="10"/>
      <x:c r="G101" s="10">
        <x:f t="shared" si="3"/>
      </x:c>
      <x:c r="H101"/>
    </x:row>
    <x:row r="102">
      <x:c r="D102" s="9"/>
      <x:c r="E102" s="9">
        <x:f t="shared" si="2"/>
      </x:c>
      <x:c r="F102" s="10"/>
      <x:c r="G102" s="10">
        <x:f t="shared" si="3"/>
      </x:c>
    </x:row>
    <x:row r="103">
      <x:c r="D103" s="9"/>
      <x:c r="E103" s="9">
        <x:f t="shared" si="2"/>
      </x:c>
      <x:c r="F103" s="10"/>
      <x:c r="G103" s="10">
        <x:f t="shared" si="3"/>
      </x:c>
    </x:row>
    <x:row r="104">
      <x:c r="D104" s="9"/>
      <x:c r="E104" s="9">
        <x:f t="shared" si="2"/>
      </x:c>
      <x:c r="F104" s="10"/>
      <x:c r="G104" s="10">
        <x:f t="shared" si="3"/>
      </x:c>
    </x:row>
    <x:row r="105">
      <x:c r="D105" s="9"/>
      <x:c r="E105" s="9">
        <x:f t="shared" si="2"/>
      </x:c>
      <x:c r="F105" s="10"/>
      <x:c r="G105" s="10">
        <x:f t="shared" si="3"/>
      </x:c>
    </x:row>
    <x:row r="106">
      <x:c r="D106" s="9"/>
      <x:c r="E106" s="9">
        <x:f t="shared" si="2"/>
      </x:c>
      <x:c r="F106" s="10"/>
      <x:c r="G106" s="10">
        <x:f t="shared" si="3"/>
      </x:c>
    </x:row>
    <x:row r="107">
      <x:c r="D107" s="9"/>
      <x:c r="E107" s="9">
        <x:f t="shared" si="2"/>
      </x:c>
      <x:c r="F107" s="10"/>
      <x:c r="G107" s="10">
        <x:f t="shared" si="3"/>
      </x:c>
    </x:row>
    <x:row r="108">
      <x:c r="D108" s="9"/>
      <x:c r="E108" s="9">
        <x:f t="shared" si="2"/>
      </x:c>
      <x:c r="F108" s="10"/>
      <x:c r="G108" s="10">
        <x:f t="shared" si="3"/>
      </x:c>
    </x:row>
    <x:row r="109">
      <x:c r="D109" s="9"/>
      <x:c r="E109" s="9">
        <x:f t="shared" si="2"/>
      </x:c>
      <x:c r="F109" s="10"/>
      <x:c r="G109" s="10">
        <x:f t="shared" si="3"/>
      </x:c>
    </x:row>
    <x:row r="110">
      <x:c r="D110" s="9"/>
      <x:c r="E110" s="9"/>
      <x:c r="F110" s="10"/>
      <x:c r="G110" s="10"/>
    </x:row>
  </x:sheetData>
  <x:pageMargins left="0.7" right="0.7" top="0.75" bottom="0.75" header="0.3" footer="0.3"/>
  <x:tableParts count="1">
    <x:tablePart xmlns:r="http://schemas.openxmlformats.org/officeDocument/2006/relationships" r:id="R4b83214560bb4549"/>
  </x:tableParts>
</x:worksheet>
</file>

<file path=xl/worksheets/sheet10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28" customWidth="1"/>
    <x:col min="3" max="3" width="32" customWidth="1"/>
    <x:col min="4" max="4" width="60" customWidth="1"/>
  </x:cols>
  <x:sheetData>
    <x:row r="1" ht="16.799999237060547" hidden="0" customHeight="1">
      <x:c r="A1" s="17" t="str">
        <x:v>Product ID</x:v>
      </x:c>
      <x:c r="B1" s="17" t="str">
        <x:v>Rule Key</x:v>
      </x:c>
      <x:c r="C1" s="17" t="str">
        <x:v>Rule Value</x:v>
      </x:c>
      <x:c r="D1" s="17" t="str">
        <x:v>Notes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GLOBAL</x:v>
      </x:c>
      <x:c r="B2" s="16" t="str">
        <x:v>Foundation Dependency</x:v>
      </x:c>
      <x:c r="C2" s="16" t="str">
        <x:v>Required once per Better Home project</x:v>
      </x:c>
      <x:c r="D2" s="16" t="str">
        <x:v>Smart Toilet supply may be purchased independently</x:v>
      </x:c>
    </x:row>
    <x:row r="3" ht="39.599998474121094" hidden="0" customHeight="1">
      <x:c r="A3" s="16" t="str">
        <x:v>GLOBAL</x:v>
      </x:c>
      <x:c r="B3" s="16" t="str">
        <x:v>Add-on Rule</x:v>
      </x:c>
      <x:c r="C3" s="16" t="str">
        <x:v>An Add-on expands an existing parent capability; it does not create a new room or experience</x:v>
      </x:c>
      <x:c r="D3" s="16" t="str">
        <x:v>Only compatible parent products may expose the Add-on</x:v>
      </x:c>
    </x:row>
    <x:row r="4" ht="26.399999618530273" hidden="0" customHeight="1">
      <x:c r="A4" s="16" t="str">
        <x:v>GLOBAL</x:v>
      </x:c>
      <x:c r="B4" s="16" t="str">
        <x:v>Price Tax Basis</x:v>
      </x:c>
      <x:c r="C4" s="16" t="str">
        <x:v>Customer prices include GST; cost inputs exclude GST</x:v>
      </x:c>
      <x:c r="D4" s="16" t="str">
        <x:v>Pricing Summary converts revenue to ex GST before margin</x:v>
      </x:c>
    </x:row>
    <x:row r="5" ht="16.799999237060547" hidden="0" customHeight="1">
      <x:c r="A5" s="16" t="str">
        <x:v>C-01</x:v>
      </x:c>
      <x:c r="B5" s="16" t="str">
        <x:v>One Touch Leave</x:v>
      </x:c>
      <x:c r="C5" s="16" t="str">
        <x:v>Excluded</x:v>
      </x:c>
      <x:c r="D5" s="16" t="str">
        <x:v>Belongs entirely to Away Collection</x:v>
      </x:c>
    </x:row>
    <x:row r="6" ht="16.799999237060547" hidden="0" customHeight="1">
      <x:c r="A6" s="16" t="str">
        <x:v>C-01</x:v>
      </x:c>
      <x:c r="B6" s="16" t="str">
        <x:v>Doorbell</x:v>
      </x:c>
      <x:c r="C6" s="16" t="str">
        <x:v>Wireless battery video doorbell</x:v>
      </x:c>
      <x:c r="D6" s="16" t="str">
        <x:v>Intercom and subscriptions excluded</x:v>
      </x:c>
    </x:row>
    <x:row r="7" ht="16.799999237060547" hidden="0" customHeight="1">
      <x:c r="A7" s="16" t="str">
        <x:v>C-01</x:v>
      </x:c>
      <x:c r="B7" s="16" t="str">
        <x:v>Garage Door</x:v>
      </x:c>
      <x:c r="C7" s="16" t="str">
        <x:v>Manual app/screen relay control</x:v>
      </x:c>
      <x:c r="D7" s="16" t="str">
        <x:v>No automatic arrival opening</x:v>
      </x:c>
    </x:row>
    <x:row r="8" ht="16.799999237060547" hidden="0" customHeight="1">
      <x:c r="A8" s="16" t="str">
        <x:v>C-01</x:v>
      </x:c>
      <x:c r="B8" s="16" t="str">
        <x:v>Smart Lock</x:v>
      </x:c>
      <x:c r="C8" s="16" t="str">
        <x:v>Authenticated fingerprint/PIN/app unlock</x:v>
      </x:c>
      <x:c r="D8" s="16" t="str">
        <x:v>No PIR or proximity auto-unlock</x:v>
      </x:c>
    </x:row>
    <x:row r="9" ht="26.399999618530273" hidden="0" customHeight="1">
      <x:c r="A9" s="16" t="str">
        <x:v>C-02</x:v>
      </x:c>
      <x:c r="B9" s="16" t="str">
        <x:v>Switch Scope</x:v>
      </x:c>
      <x:c r="C9" s="16" t="str">
        <x:v>One switch; up to six compatible on/off circuits</x:v>
      </x:c>
      <x:c r="D9" s="16" t="str">
        <x:v>Not six switches</x:v>
      </x:c>
    </x:row>
    <x:row r="10" ht="26.399999618530273" hidden="0" customHeight="1">
      <x:c r="A10" s="16" t="str">
        <x:v>C-02</x:v>
      </x:c>
      <x:c r="B10" s="16" t="str">
        <x:v>Split AC</x:v>
      </x:c>
      <x:c r="C10" s="16" t="str">
        <x:v>One compatible IR remote-controlled split system</x:v>
      </x:c>
      <x:c r="D10" s="16" t="str">
        <x:v>Central/ducted HVAC requires Climate</x:v>
      </x:c>
    </x:row>
    <x:row r="11" ht="16.799999237060547" hidden="0" customHeight="1">
      <x:c r="A11" s="16" t="str">
        <x:v>C-02</x:v>
      </x:c>
      <x:c r="B11" s="16" t="str">
        <x:v>Curtain Scope</x:v>
      </x:c>
      <x:c r="C11" s="16" t="str">
        <x:v>One motor and straight track &lt;=3m</x:v>
      </x:c>
      <x:c r="D11" s="16" t="str">
        <x:v>Fabric/sheers excluded; double curtain needs two systems</x:v>
      </x:c>
    </x:row>
    <x:row r="12" ht="26.399999618530273" hidden="0" customHeight="1">
      <x:c r="A12" s="16" t="str">
        <x:v>C-02</x:v>
      </x:c>
      <x:c r="B12" s="16" t="str">
        <x:v>TV</x:v>
      </x:c>
      <x:c r="C12" s="16" t="str">
        <x:v>Basic compatible IR scene control via multifunction sensor</x:v>
      </x:c>
      <x:c r="D12" s="16" t="str">
        <x:v>No TV hardware included</x:v>
      </x:c>
    </x:row>
    <x:row r="13" ht="16.799999237060547" hidden="0" customHeight="1">
      <x:c r="A13" s="16" t="str">
        <x:v>C-03</x:v>
      </x:c>
      <x:c r="B13" s="16" t="str">
        <x:v>Healthy Air Boundary</x:v>
      </x:c>
      <x:c r="C13" s="16" t="str">
        <x:v>Cooking air recovery is not included</x:v>
      </x:c>
      <x:c r="D13" s="16" t="str">
        <x:v>Healthy Air is separate</x:v>
      </x:c>
    </x:row>
    <x:row r="14" ht="16.799999237060547" hidden="0" customHeight="1">
      <x:c r="A14" s="16" t="str">
        <x:v>C-03</x:v>
      </x:c>
      <x:c r="B14" s="16" t="str">
        <x:v>Smart Appliance Outlet</x:v>
      </x:c>
      <x:c r="C14" s="16" t="str">
        <x:v>Compatible safe appliance only</x:v>
      </x:c>
      <x:c r="D14" s="16" t="str">
        <x:v>No guarantee kettle/coffee machine resumes after power restoration</x:v>
      </x:c>
    </x:row>
    <x:row r="15" ht="16.799999237060547" hidden="0" customHeight="1">
      <x:c r="A15" s="16" t="str">
        <x:v>C-04</x:v>
      </x:c>
      <x:c r="B15" s="16" t="str">
        <x:v>Bedside Remotes</x:v>
      </x:c>
      <x:c r="C15" s="16" t="str">
        <x:v>Two identical four-button remotes</x:v>
      </x:c>
      <x:c r="D15" s="16" t="str">
        <x:v>Good Night; Night Path; Curtain; Gentle Wake</x:v>
      </x:c>
    </x:row>
    <x:row r="16" ht="16.799999237060547" hidden="0" customHeight="1">
      <x:c r="A16" s="16" t="str">
        <x:v>C-04</x:v>
      </x:c>
      <x:c r="B16" s="16" t="str">
        <x:v>TV</x:v>
      </x:c>
      <x:c r="C16" s="16" t="str">
        <x:v>Not a standard selling point</x:v>
      </x:c>
      <x:c r="D16" s="16" t="str">
        <x:v>Optional compatible TV off can be configured in Good Night</x:v>
      </x:c>
    </x:row>
    <x:row r="17" ht="16.799999237060547" hidden="0" customHeight="1">
      <x:c r="A17" s="16" t="str">
        <x:v>C-05</x:v>
      </x:c>
      <x:c r="B17" s="16" t="str">
        <x:v>Exhaust Fan</x:v>
      </x:c>
      <x:c r="C17" s="16" t="str">
        <x:v>Controls one existing compatible fan</x:v>
      </x:c>
      <x:c r="D17" s="16" t="str">
        <x:v>Fan body excluded</x:v>
      </x:c>
    </x:row>
    <x:row r="18" ht="16.799999237060547" hidden="0" customHeight="1">
      <x:c r="A18" s="16" t="str">
        <x:v>C-05</x:v>
      </x:c>
      <x:c r="B18" s="16" t="str">
        <x:v>Shower Mode</x:v>
      </x:c>
      <x:c r="C18" s="16" t="str">
        <x:v>Manually triggered</x:v>
      </x:c>
      <x:c r="D18" s="16" t="str">
        <x:v>Occupancy never automatically starts heating loads</x:v>
      </x:c>
    </x:row>
    <x:row r="19" ht="16.799999237060547" hidden="0" customHeight="1">
      <x:c r="A19" s="16" t="str">
        <x:v>C-06</x:v>
      </x:c>
      <x:c r="B19" s="16" t="str">
        <x:v>Room Control Boundary</x:v>
      </x:c>
      <x:c r="C19" s="16" t="str">
        <x:v>Does not create new room controls</x:v>
      </x:c>
      <x:c r="D19" s="16" t="str">
        <x:v>Manages devices already installed through Collections</x:v>
      </x:c>
    </x:row>
    <x:row r="20" ht="16.799999237060547" hidden="0" customHeight="1">
      <x:c r="A20" s="16" t="str">
        <x:v>C-06</x:v>
      </x:c>
      <x:c r="B20" s="16" t="str">
        <x:v>Contacts</x:v>
      </x:c>
      <x:c r="C20" s="16" t="str">
        <x:v>Four wireless contacts</x:v>
      </x:c>
      <x:c r="D20" s="16" t="str">
        <x:v>Customer selects doors/windows; garage status uses one</x:v>
      </x:c>
    </x:row>
    <x:row r="21" ht="16.799999237060547" hidden="0" customHeight="1">
      <x:c r="A21" s="16" t="str">
        <x:v>C-06</x:v>
      </x:c>
      <x:c r="B21" s="16" t="str">
        <x:v>Voice</x:v>
      </x:c>
      <x:c r="C21" s="16" t="str">
        <x:v>No default direct voice activation</x:v>
      </x:c>
      <x:c r="D21" s="16" t="str">
        <x:v>Start from screen, app or assigned scene key</x:v>
      </x:c>
    </x:row>
    <x:row r="22" ht="16.799999237060547" hidden="0" customHeight="1">
      <x:c r="A22" s="16" t="str">
        <x:v>C-06</x:v>
      </x:c>
      <x:c r="B22" s="16" t="str">
        <x:v>Holiday Mode</x:v>
      </x:c>
      <x:c r="C22" s="16" t="str">
        <x:v>Selected existing connected lights only</x:v>
      </x:c>
      <x:c r="D22" s="16" t="str">
        <x:v>No locks, garage, curtains or new room controls</x:v>
      </x:c>
    </x:row>
    <x:row r="23" ht="16.799999237060547" hidden="0" customHeight="1">
      <x:c r="A23" s="16" t="str">
        <x:v>E-01</x:v>
      </x:c>
      <x:c r="B23" s="16" t="str">
        <x:v>Coverage</x:v>
      </x:c>
      <x:c r="C23" s="16" t="str">
        <x:v>One compatible Collection room</x:v>
      </x:c>
      <x:c r="D23" s="16" t="str">
        <x:v>Living, Bedroom or Bathroom</x:v>
      </x:c>
    </x:row>
    <x:row r="24" ht="26.399999618530273" hidden="0" customHeight="1">
      <x:c r="A24" s="16" t="str">
        <x:v>E-01</x:v>
      </x:c>
      <x:c r="B24" s="16" t="str">
        <x:v>Power Design</x:v>
      </x:c>
      <x:c r="C24" s="16" t="str">
        <x:v>Two independent zones; maximum 5m at 12W/m each</x:v>
      </x:c>
      <x:c r="D24" s="16" t="str">
        <x:v>Each zone has its own 76.8W 24V supply</x:v>
      </x:c>
    </x:row>
    <x:row r="25" ht="16.799999237060547" hidden="0" customHeight="1">
      <x:c r="A25" s="16" t="str">
        <x:v>E-01</x:v>
      </x:c>
      <x:c r="B25" s="16" t="str">
        <x:v>Hourly Light Clock</x:v>
      </x:c>
      <x:c r="C25" s="16" t="str">
        <x:v>Bedroom only; default 10pm-7am</x:v>
      </x:c>
      <x:c r="D25" s="16" t="str">
        <x:v>Shows when Night Path triggers in sleep state; not continuous</x:v>
      </x:c>
    </x:row>
    <x:row r="26" ht="26.399999618530273" hidden="0" customHeight="1">
      <x:c r="A26" s="16" t="str">
        <x:v>E-02</x:v>
      </x:c>
      <x:c r="B26" s="16" t="str">
        <x:v>Standard HVAC Scope</x:v>
      </x:c>
      <x:c r="C26" s="16" t="str">
        <x:v>One compatible existing ducted system; up to six existing zones</x:v>
      </x:c>
      <x:c r="D26" s="16" t="str">
        <x:v>No HVAC repair, zone motor or duct work</x:v>
      </x:c>
    </x:row>
    <x:row r="27" ht="26.399999618530273" hidden="0" customHeight="1">
      <x:c r="A27" s="16" t="str">
        <x:v>E-02</x:v>
      </x:c>
      <x:c r="B27" s="16" t="str">
        <x:v>Expansion</x:v>
      </x:c>
      <x:c r="C27" s="16" t="str">
        <x:v>Zones 7-12 require a second Zone Controller</x:v>
      </x:c>
      <x:c r="D27" s="16" t="str">
        <x:v>13+ quoted</x:v>
      </x:c>
    </x:row>
    <x:row r="28" ht="26.399999618530273" hidden="0" customHeight="1">
      <x:c r="A28" s="16" t="str">
        <x:v>E-02</x:v>
      </x:c>
      <x:c r="B28" s="16" t="str">
        <x:v>Sensors</x:v>
      </x:c>
      <x:c r="C28" s="16" t="str">
        <x:v>Reuse Collection occupancy and temperature sensors</x:v>
      </x:c>
      <x:c r="D28" s="16" t="str">
        <x:v>No standard sensor Add-on</x:v>
      </x:c>
    </x:row>
    <x:row r="29" ht="16.799999237060547" hidden="0" customHeight="1">
      <x:c r="A29" s="16" t="str">
        <x:v>E-03</x:v>
      </x:c>
      <x:c r="B29" s="16" t="str">
        <x:v>Coverage</x:v>
      </x:c>
      <x:c r="C29" s="16" t="str">
        <x:v>One compatible Collection room/zone</x:v>
      </x:c>
      <x:c r="D29" s="16" t="str">
        <x:v>New room requires another Healthy Air</x:v>
      </x:c>
    </x:row>
    <x:row r="30" ht="26.399999618530273" hidden="0" customHeight="1">
      <x:c r="A30" s="16" t="str">
        <x:v>E-03</x:v>
      </x:c>
      <x:c r="B30" s="16" t="str">
        <x:v>Sensor Claims</x:v>
      </x:c>
      <x:c r="C30" s="16" t="str">
        <x:v>CO/eCO2/TVOC/temp/humidity/lux/motion per manufacturer</x:v>
      </x:c>
      <x:c r="D30" s="16" t="str">
        <x:v>No PM2.5; does not replace statutory CO alarm</x:v>
      </x:c>
    </x:row>
    <x:row r="31" ht="16.799999237060547" hidden="0" customHeight="1">
      <x:c r="A31" s="16" t="str">
        <x:v>E-03</x:v>
      </x:c>
      <x:c r="B31" s="16" t="str">
        <x:v>Microphone</x:v>
      </x:c>
      <x:c r="C31" s="16" t="str">
        <x:v>Off by default</x:v>
      </x:c>
      <x:c r="D31" s="16" t="str">
        <x:v>Care/baby/elderly monitoring excluded</x:v>
      </x:c>
    </x:row>
    <x:row r="32" ht="26.399999618530273" hidden="0" customHeight="1">
      <x:c r="A32" s="16" t="str">
        <x:v>E-03</x:v>
      </x:c>
      <x:c r="B32" s="16" t="str">
        <x:v>Ventilation</x:v>
      </x:c>
      <x:c r="C32" s="16" t="str">
        <x:v>Supply and extract fans are independently switched on/off</x:v>
      </x:c>
      <x:c r="D32" s="16" t="str">
        <x:v>No dynamic fan-speed control</x:v>
      </x:c>
    </x:row>
    <x:row r="33" ht="16.799999237060547" hidden="0" customHeight="1">
      <x:c r="A33" s="16" t="str">
        <x:v>E-03</x:v>
      </x:c>
      <x:c r="B33" s="16" t="str">
        <x:v>Outdoor Data</x:v>
      </x:c>
      <x:c r="C33" s="16" t="str">
        <x:v>Uses online weather temperature/AQI</x:v>
      </x:c>
      <x:c r="D33" s="16" t="str">
        <x:v>No outdoor sensor; no filtration claim</x:v>
      </x:c>
    </x:row>
    <x:row r="34" ht="26.399999618530273" hidden="0" customHeight="1">
      <x:c r="A34" s="16" t="str">
        <x:v>E-03</x:v>
      </x:c>
      <x:c r="B34" s="16" t="str">
        <x:v>Standard Ducting</x:v>
      </x:c>
      <x:c r="C34" s="16" t="str">
        <x:v>Two 6m flexible ducts, no bends, four grilles</x:v>
      </x:c>
      <x:c r="D34" s="16" t="str">
        <x:v>Outdoor intake/extract separation minimum 3m</x:v>
      </x:c>
    </x:row>
    <x:row r="35" ht="26.399999618530273" hidden="0" customHeight="1">
      <x:c r="A35" s="16" t="str">
        <x:v>E-03</x:v>
      </x:c>
      <x:c r="B35" s="16" t="str">
        <x:v>Fan Mapping</x:v>
      </x:c>
      <x:c r="C35" s="16" t="str">
        <x:v>Bedroom/Bathroom 100mm low; Living 150mm low; Kitchen 150mm high</x:v>
      </x:c>
      <x:c r="D35" s="16" t="str">
        <x:v>Provisional first-install review</x:v>
      </x:c>
    </x:row>
    <x:row r="36" ht="16.799999237060547" hidden="0" customHeight="1">
      <x:c r="A36" s="16" t="str">
        <x:v>E-03</x:v>
      </x:c>
      <x:c r="B36" s="16" t="str">
        <x:v>Add-ons</x:v>
      </x:c>
      <x:c r="C36" s="16" t="str">
        <x:v>No standard Add-ons</x:v>
      </x:c>
      <x:c r="D36" s="16" t="str">
        <x:v>Extra fan/sensor/duct/special opening quoted</x:v>
      </x:c>
    </x:row>
    <x:row r="37" ht="16.799999237060547" hidden="0" customHeight="1">
      <x:c r="A37" s="16" t="str">
        <x:v>E-04</x:v>
      </x:c>
      <x:c r="B37" s="16" t="str">
        <x:v>Standard Interface</x:v>
      </x:c>
      <x:c r="C37" s="16" t="str">
        <x:v>Front and rear four-output relay boxes</x:v>
      </x:c>
      <x:c r="D37" s="16" t="str">
        <x:v>Four zones configured by default; capacity eight</x:v>
      </x:c>
    </x:row>
    <x:row r="38" ht="26.399999618530273" hidden="0" customHeight="1">
      <x:c r="A38" s="16" t="str">
        <x:v>E-04</x:v>
      </x:c>
      <x:c r="B38" s="16" t="str">
        <x:v>Landscaper Scope</x:v>
      </x:c>
      <x:c r="C38" s="16" t="str">
        <x:v>Valves, valve wiring, water pipe, sprinklers, trenching and water connection</x:v>
      </x:c>
      <x:c r="D38" s="16" t="str">
        <x:v>Better Home ends at relay-box terminals</x:v>
      </x:c>
    </x:row>
    <x:row r="39" ht="16.799999237060547" hidden="0" customHeight="1">
      <x:c r="A39" s="16" t="str">
        <x:v>E-04</x:v>
      </x:c>
      <x:c r="B39" s="16" t="str">
        <x:v>Valve Power</x:v>
      </x:c>
      <x:c r="C39" s="16" t="str">
        <x:v>24V DC interface from VPS1-1502405</x:v>
      </x:c>
      <x:c r="D39" s="16" t="str">
        <x:v>Landscaper must use compatible valve coils; verify before connection</x:v>
      </x:c>
    </x:row>
    <x:row r="40" ht="16.799999237060547" hidden="0" customHeight="1">
      <x:c r="A40" s="16" t="str">
        <x:v>E-04</x:v>
      </x:c>
      <x:c r="B40" s="16" t="str">
        <x:v>Sequence</x:v>
      </x:c>
      <x:c r="C40" s="16" t="str">
        <x:v>Only one irrigation zone runs at a time</x:v>
      </x:c>
      <x:c r="D40" s="16" t="str">
        <x:v>Protects water pressure and supply</x:v>
      </x:c>
    </x:row>
    <x:row r="41" ht="26.399999618530273" hidden="0" customHeight="1">
      <x:c r="A41" s="16" t="str">
        <x:v>E-05</x:v>
      </x:c>
      <x:c r="B41" s="16" t="str">
        <x:v>Dependency</x:v>
      </x:c>
      <x:c r="C41" s="16" t="str">
        <x:v>Automatically enabled only with Entry + Away + CCTV</x:v>
      </x:c>
      <x:c r="D41" s="16" t="str">
        <x:v>Free bonus; not purchasable</x:v>
      </x:c>
    </x:row>
    <x:row r="42" ht="26.399999618530273" hidden="0" customHeight="1">
      <x:c r="A42" s="16" t="str">
        <x:v>E-05</x:v>
      </x:c>
      <x:c r="B42" s="16" t="str">
        <x:v>Response</x:v>
      </x:c>
      <x:c r="C42" s="16" t="str">
        <x:v>Trigger camera white light plus selected front-visible home lights</x:v>
      </x:c>
      <x:c r="D42" s="16" t="str">
        <x:v>No siren, police monitoring, lock, garage or curtain action</x:v>
      </x:c>
    </x:row>
    <x:row r="43" ht="26.399999618530273" hidden="0" customHeight="1">
      <x:c r="A43" s="16" t="str">
        <x:v>E-06</x:v>
      </x:c>
      <x:c r="B43" s="16" t="str">
        <x:v>Standard Kit</x:v>
      </x:c>
      <x:c r="C43" s="16" t="str">
        <x:v>Four 8MP cameras + 8-channel VPro NVR + 4TB</x:v>
      </x:c>
      <x:c r="D43" s="16" t="str">
        <x:v>From $3,999 installed</x:v>
      </x:c>
    </x:row>
    <x:row r="44" ht="26.399999618530273" hidden="0" customHeight="1">
      <x:c r="A44" s="16" t="str">
        <x:v>E-06</x:v>
      </x:c>
      <x:c r="B44" s="16" t="str">
        <x:v>Installation Boundary</x:v>
      </x:c>
      <x:c r="C44" s="16" t="str">
        <x:v>Standard accessible new-build/single-storey cabling</x:v>
      </x:c>
      <x:c r="D44" s="16" t="str">
        <x:v>Difficult access, high work and completed double-storey quoted</x:v>
      </x:c>
    </x:row>
    <x:row r="45" ht="16.799999237060547" hidden="0" customHeight="1">
      <x:c r="A45" s="16" t="str">
        <x:v>E-06</x:v>
      </x:c>
      <x:c r="B45" s="16" t="str">
        <x:v>Audio</x:v>
      </x:c>
      <x:c r="C45" s="16" t="str">
        <x:v>Audible warning off by default</x:v>
      </x:c>
      <x:c r="D45" s="16" t="str">
        <x:v>Visible response without noise</x:v>
      </x:c>
    </x:row>
    <x:row r="46" ht="26.399999618530273" hidden="0" customHeight="1">
      <x:c r="A46" s="16" t="str">
        <x:v>E-07</x:v>
      </x:c>
      <x:c r="B46" s="16" t="str">
        <x:v>Dependency</x:v>
      </x:c>
      <x:c r="C46" s="16" t="str">
        <x:v>Independent purchase; no Foundation or Bathroom required</x:v>
      </x:c>
      <x:c r="D46" s="16" t="str">
        <x:v>Standalone Product</x:v>
      </x:c>
    </x:row>
    <x:row r="47" ht="16.799999237060547" hidden="0" customHeight="1">
      <x:c r="A47" s="16" t="str">
        <x:v>E-07</x:v>
      </x:c>
      <x:c r="B47" s="16" t="str">
        <x:v>Commercial Scope</x:v>
      </x:c>
      <x:c r="C47" s="16" t="str">
        <x:v>Supply only; freight excluded</x:v>
      </x:c>
      <x:c r="D47" s="16" t="str">
        <x:v>Plumber, removal, installation and electrical work excluded</x:v>
      </x:c>
    </x:row>
    <x:row r="48" ht="16.799999237060547" hidden="0" customHeight="1">
      <x:c r="A48" s="16" t="str">
        <x:v>E-07</x:v>
      </x:c>
      <x:c r="B48" s="16" t="str">
        <x:v>Support</x:v>
      </x:c>
      <x:c r="C48" s="16" t="str">
        <x:v>Customer contacts Better Home first</x:v>
      </x:c>
      <x:c r="D48" s="16" t="str">
        <x:v>Removal/reinstallation costs customer responsibility subject to law</x:v>
      </x:c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</x:sheetData>
  <x:pageMargins left="0.7" right="0.7" top="0.75" bottom="0.75" header="0.3" footer="0.3"/>
  <x:tableParts count="1">
    <x:tablePart xmlns:r="http://schemas.openxmlformats.org/officeDocument/2006/relationships" r:id="Re70237c8e22b474e"/>
  </x:tableParts>
</x:worksheet>
</file>

<file path=xl/worksheets/sheet11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28" customWidth="1"/>
    <x:col min="3" max="3" width="15" customWidth="1"/>
    <x:col min="4" max="6" width="16" customWidth="1"/>
    <x:col min="7" max="7" width="18" customWidth="1"/>
    <x:col min="8" max="8" width="16" customWidth="1"/>
    <x:col min="9" max="9" width="14" customWidth="1"/>
    <x:col min="10" max="10" width="15" customWidth="1"/>
    <x:col min="11" max="11" width="48" hidden="0" customWidth="1"/>
  </x:cols>
  <x:sheetData>
    <x:row r="1" ht="26.399999618530273" hidden="0" customHeight="1">
      <x:c r="A1" s="17" t="str">
        <x:v>Product ID</x:v>
      </x:c>
      <x:c r="B1" s="17" t="str">
        <x:v>Name</x:v>
      </x:c>
      <x:c r="C1" s="17" t="str">
        <x:v>Type</x:v>
      </x:c>
      <x:c r="D1" s="17" t="str">
        <x:v>Material Cost ex GST</x:v>
      </x:c>
      <x:c r="E1" s="17" t="str">
        <x:v>Labour Cost ex GST</x:v>
      </x:c>
      <x:c r="F1" s="17" t="str">
        <x:v>Direct Cost ex GST</x:v>
      </x:c>
      <x:c r="G1" s="17" t="str">
        <x:v>Customer Price incl GST</x:v>
      </x:c>
      <x:c r="H1" s="17" t="str">
        <x:v>Gross Profit ex GST</x:v>
      </x:c>
      <x:c r="I1" s="17" t="str">
        <x:v>Gross Margin</x:v>
      </x:c>
      <x:c r="J1" s="17" t="str">
        <x:v>Status</x:v>
      </x:c>
      <x:c r="K1" s="17" t="str">
        <x:v>Notes</x:v>
      </x:c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6.399999618530273" hidden="0" customHeight="1">
      <x:c r="A2" s="16" t="str">
        <x:v>F-01</x:v>
      </x:c>
      <x:c r="B2" s="16" t="str">
        <x:f>IFERROR(VLOOKUP(A2,'04_Product_Master'!$A$2:$N$100,4,FALSE),"")</x:f>
        <x:v>Foundation</x:v>
      </x:c>
      <x:c r="C2" s="16" t="str">
        <x:f>IFERROR(VLOOKUP(A2,'04_Product_Master'!$A$2:$N$100,3,FALSE),"")</x:f>
        <x:v>Infrastructure</x:v>
      </x:c>
      <x:c r="D2" s="20" t="n">
        <x:f>SUMIF('07_Product_BOM'!$A$2:$A$300,A2,'07_Product_BOM'!$E$2:$E$300)</x:f>
        <x:v>2015</x:v>
      </x:c>
      <x:c r="E2" s="20" t="n">
        <x:f>SUMIF('08_Product_Labour'!$A$2:$A$300,A2,'08_Product_Labour'!$G$2:$G$300)</x:f>
        <x:v>825</x:v>
      </x:c>
      <x:c r="F2" s="20" t="n">
        <x:f t="shared" ref="F2:F15" si="0">D2+E2</x:f>
        <x:v>2840</x:v>
      </x:c>
      <x:c r="G2" s="20" t="n">
        <x:f>IFERROR(VLOOKUP(A2,'04_Product_Master'!$A$2:$N$100,13,FALSE),0)</x:f>
        <x:v>4999</x:v>
      </x:c>
      <x:c r="H2" s="20" t="n">
        <x:f t="shared" ref="H2:H15" si="1">IF(G2=0,0,G2/(1+'01_Settings'!$B$7)-F2)</x:f>
        <x:v>1704.545454545454</x:v>
      </x:c>
      <x:c r="I2" s="22" t="n">
        <x:f t="shared" ref="I2:I15" si="2">IF(G2=0,0,H2/(G2/(1+'01_Settings'!$B$7)))</x:f>
        <x:v>0.37507501500300056</x:v>
      </x:c>
      <x:c r="J2" s="16" t="str">
        <x:f>IFERROR(VLOOKUP(A2,'04_Product_Master'!$A$2:$N$100,6,FALSE),"")</x:f>
        <x:v>Frozen</x:v>
      </x:c>
      <x:c r="K2" s="16" t="str">
        <x:f>IFERROR(VLOOKUP(A2,'04_Product_Master'!$A$2:$N$100,14,FALSE),"")</x:f>
        <x:v>Mandatory once per Better Home project. Standard 10-inch screen.</x:v>
      </x:c>
    </x:row>
    <x:row r="3" ht="26.399999618530273" hidden="0" customHeight="1">
      <x:c r="A3" s="16" t="str">
        <x:v>C-01</x:v>
      </x:c>
      <x:c r="B3" s="16" t="str">
        <x:f>IFERROR(VLOOKUP(A3,'04_Product_Master'!$A$2:$N$100,4,FALSE),"")</x:f>
        <x:v>Entry Collection</x:v>
      </x:c>
      <x:c r="C3" s="16" t="str">
        <x:f>IFERROR(VLOOKUP(A3,'04_Product_Master'!$A$2:$N$100,3,FALSE),"")</x:f>
        <x:v>Collection</x:v>
      </x:c>
      <x:c r="D3" s="20" t="n">
        <x:f>SUMIF('07_Product_BOM'!$A$2:$A$300,A3,'07_Product_BOM'!$E$2:$E$300)</x:f>
        <x:v>662</x:v>
      </x:c>
      <x:c r="E3" s="20" t="n">
        <x:f>SUMIF('08_Product_Labour'!$A$2:$A$300,A3,'08_Product_Labour'!$G$2:$G$300)</x:f>
        <x:v>419.1</x:v>
      </x:c>
      <x:c r="F3" s="20" t="n">
        <x:f t="shared" si="0">D3+E3</x:f>
        <x:v>1081.1</x:v>
      </x:c>
      <x:c r="G3" s="20" t="n">
        <x:f>IFERROR(VLOOKUP(A3,'04_Product_Master'!$A$2:$N$100,13,FALSE),0)</x:f>
        <x:v>2499</x:v>
      </x:c>
      <x:c r="H3" s="20" t="n">
        <x:f t="shared" si="1">IF(G3=0,0,G3/(1+'01_Settings'!$B$7)-F3)</x:f>
        <x:v>1190.7181818181816</x:v>
      </x:c>
      <x:c r="I3" s="22" t="n">
        <x:f t="shared" si="2">IF(G3=0,0,H3/(G3/(1+'01_Settings'!$B$7)))</x:f>
        <x:v>0.524125650260104</x:v>
      </x:c>
      <x:c r="J3" s="16" t="str">
        <x:f>IFERROR(VLOOKUP(A3,'04_Product_Master'!$A$2:$N$100,6,FALSE),"")</x:f>
        <x:v>Frozen</x:v>
      </x:c>
      <x:c r="K3" s="16" t="str">
        <x:f>IFERROR(VLOOKUP(A3,'04_Product_Master'!$A$2:$N$100,14,FALSE),"")</x:f>
        <x:v>No One Touch Leave. Wireless video doorbell; wired intercom quoted separately.</x:v>
      </x:c>
    </x:row>
    <x:row r="4" ht="26.399999618530273" hidden="0" customHeight="1">
      <x:c r="A4" s="16" t="str">
        <x:v>C-02</x:v>
      </x:c>
      <x:c r="B4" s="16" t="str">
        <x:f>IFERROR(VLOOKUP(A4,'04_Product_Master'!$A$2:$N$100,4,FALSE),"")</x:f>
        <x:v>Living Collection</x:v>
      </x:c>
      <x:c r="C4" s="16" t="str">
        <x:f>IFERROR(VLOOKUP(A4,'04_Product_Master'!$A$2:$N$100,3,FALSE),"")</x:f>
        <x:v>Collection</x:v>
      </x:c>
      <x:c r="D4" s="20" t="n">
        <x:f>SUMIF('07_Product_BOM'!$A$2:$A$300,A4,'07_Product_BOM'!$E$2:$E$300)</x:f>
        <x:v>938.16</x:v>
      </x:c>
      <x:c r="E4" s="20" t="n">
        <x:f>SUMIF('08_Product_Labour'!$A$2:$A$300,A4,'08_Product_Labour'!$G$2:$G$300)</x:f>
        <x:v>522.225</x:v>
      </x:c>
      <x:c r="F4" s="20" t="n">
        <x:f t="shared" si="0">D4+E4</x:f>
        <x:v>1460.385</x:v>
      </x:c>
      <x:c r="G4" s="20" t="n">
        <x:f>IFERROR(VLOOKUP(A4,'04_Product_Master'!$A$2:$N$100,13,FALSE),0)</x:f>
        <x:v>2999</x:v>
      </x:c>
      <x:c r="H4" s="20" t="n">
        <x:f t="shared" si="1">IF(G4=0,0,G4/(1+'01_Settings'!$B$7)-F4)</x:f>
        <x:v>1265.978636363636</x:v>
      </x:c>
      <x:c r="I4" s="22" t="n">
        <x:f t="shared" si="2">IF(G4=0,0,H4/(G4/(1+'01_Settings'!$B$7)))</x:f>
        <x:v>0.4643469489829943</x:v>
      </x:c>
      <x:c r="J4" s="16" t="str">
        <x:f>IFERROR(VLOOKUP(A4,'04_Product_Master'!$A$2:$N$100,6,FALSE),"")</x:f>
        <x:v>Frozen</x:v>
      </x:c>
      <x:c r="K4" s="16" t="str">
        <x:f>IFERROR(VLOOKUP(A4,'04_Product_Master'!$A$2:$N$100,14,FALSE),"")</x:f>
        <x:v>Includes one compatible split AC IR control and one warm ambient zone.</x:v>
      </x:c>
    </x:row>
    <x:row r="5" ht="16.799999237060547" hidden="0" customHeight="1">
      <x:c r="A5" s="16" t="str">
        <x:v>C-03</x:v>
      </x:c>
      <x:c r="B5" s="16" t="str">
        <x:f>IFERROR(VLOOKUP(A5,'04_Product_Master'!$A$2:$N$100,4,FALSE),"")</x:f>
        <x:v>Kitchen Collection</x:v>
      </x:c>
      <x:c r="C5" s="16" t="str">
        <x:f>IFERROR(VLOOKUP(A5,'04_Product_Master'!$A$2:$N$100,3,FALSE),"")</x:f>
        <x:v>Collection</x:v>
      </x:c>
      <x:c r="D5" s="20" t="n">
        <x:f>SUMIF('07_Product_BOM'!$A$2:$A$300,A5,'07_Product_BOM'!$E$2:$E$300)</x:f>
        <x:v>579.16</x:v>
      </x:c>
      <x:c r="E5" s="20" t="n">
        <x:f>SUMIF('08_Product_Labour'!$A$2:$A$300,A5,'08_Product_Labour'!$G$2:$G$300)</x:f>
        <x:v>384.45</x:v>
      </x:c>
      <x:c r="F5" s="20" t="n">
        <x:f t="shared" si="0">D5+E5</x:f>
        <x:v>963.6099999999999</x:v>
      </x:c>
      <x:c r="G5" s="20" t="n">
        <x:f>IFERROR(VLOOKUP(A5,'04_Product_Master'!$A$2:$N$100,13,FALSE),0)</x:f>
        <x:v>2499</x:v>
      </x:c>
      <x:c r="H5" s="20" t="n">
        <x:f t="shared" si="1">IF(G5=0,0,G5/(1+'01_Settings'!$B$7)-F5)</x:f>
        <x:v>1308.2081818181816</x:v>
      </x:c>
      <x:c r="I5" s="22" t="n">
        <x:f t="shared" si="2">IF(G5=0,0,H5/(G5/(1+'01_Settings'!$B$7)))</x:f>
        <x:v>0.5758419367747099</x:v>
      </x:c>
      <x:c r="J5" s="16" t="str">
        <x:f>IFERROR(VLOOKUP(A5,'04_Product_Master'!$A$2:$N$100,6,FALSE),"")</x:f>
        <x:v>Frozen</x:v>
      </x:c>
      <x:c r="K5" s="16" t="str">
        <x:f>IFERROR(VLOOKUP(A5,'04_Product_Master'!$A$2:$N$100,14,FALSE),"")</x:f>
        <x:v>Healthy Air remains a separate Experience Pack.</x:v>
      </x:c>
    </x:row>
    <x:row r="6" ht="16.799999237060547" hidden="0" customHeight="1">
      <x:c r="A6" s="16" t="str">
        <x:v>C-04</x:v>
      </x:c>
      <x:c r="B6" s="16" t="str">
        <x:f>IFERROR(VLOOKUP(A6,'04_Product_Master'!$A$2:$N$100,4,FALSE),"")</x:f>
        <x:v>Bedroom Collection</x:v>
      </x:c>
      <x:c r="C6" s="16" t="str">
        <x:f>IFERROR(VLOOKUP(A6,'04_Product_Master'!$A$2:$N$100,3,FALSE),"")</x:f>
        <x:v>Collection</x:v>
      </x:c>
      <x:c r="D6" s="20" t="n">
        <x:f>SUMIF('07_Product_BOM'!$A$2:$A$300,A6,'07_Product_BOM'!$E$2:$E$300)</x:f>
        <x:v>1038.1599999999999</x:v>
      </x:c>
      <x:c r="E6" s="20" t="n">
        <x:f>SUMIF('08_Product_Labour'!$A$2:$A$300,A6,'08_Product_Labour'!$G$2:$G$300)</x:f>
        <x:v>538.725</x:v>
      </x:c>
      <x:c r="F6" s="20" t="n">
        <x:f t="shared" si="0">D6+E6</x:f>
        <x:v>1576.8849999999998</x:v>
      </x:c>
      <x:c r="G6" s="20" t="n">
        <x:f>IFERROR(VLOOKUP(A6,'04_Product_Master'!$A$2:$N$100,13,FALSE),0)</x:f>
        <x:v>2699</x:v>
      </x:c>
      <x:c r="H6" s="20" t="n">
        <x:f t="shared" si="1">IF(G6=0,0,G6/(1+'01_Settings'!$B$7)-F6)</x:f>
        <x:v>876.7513636363637</x:v>
      </x:c>
      <x:c r="I6" s="22" t="n">
        <x:f t="shared" si="2">IF(G6=0,0,H6/(G6/(1+'01_Settings'!$B$7)))</x:f>
        <x:v>0.357327343460541</x:v>
      </x:c>
      <x:c r="J6" s="16" t="str">
        <x:f>IFERROR(VLOOKUP(A6,'04_Product_Master'!$A$2:$N$100,6,FALSE),"")</x:f>
        <x:v>Frozen</x:v>
      </x:c>
      <x:c r="K6" s="16" t="str">
        <x:f>IFERROR(VLOOKUP(A6,'04_Product_Master'!$A$2:$N$100,14,FALSE),"")</x:f>
        <x:v>Includes two identical four-button bedside scene remotes.</x:v>
      </x:c>
    </x:row>
    <x:row r="7" ht="26.399999618530273" hidden="0" customHeight="1">
      <x:c r="A7" s="16" t="str">
        <x:v>C-05</x:v>
      </x:c>
      <x:c r="B7" s="16" t="str">
        <x:f>IFERROR(VLOOKUP(A7,'04_Product_Master'!$A$2:$N$100,4,FALSE),"")</x:f>
        <x:v>Bathroom Collection</x:v>
      </x:c>
      <x:c r="C7" s="16" t="str">
        <x:f>IFERROR(VLOOKUP(A7,'04_Product_Master'!$A$2:$N$100,3,FALSE),"")</x:f>
        <x:v>Collection</x:v>
      </x:c>
      <x:c r="D7" s="20" t="n">
        <x:f>SUMIF('07_Product_BOM'!$A$2:$A$300,A7,'07_Product_BOM'!$E$2:$E$300)</x:f>
        <x:v>404.15999999999997</x:v>
      </x:c>
      <x:c r="E7" s="20" t="n">
        <x:f>SUMIF('08_Product_Labour'!$A$2:$A$300,A7,'08_Product_Labour'!$G$2:$G$300)</x:f>
        <x:v>371.25</x:v>
      </x:c>
      <x:c r="F7" s="20" t="n">
        <x:f t="shared" si="0">D7+E7</x:f>
        <x:v>775.41</x:v>
      </x:c>
      <x:c r="G7" s="20" t="n">
        <x:f>IFERROR(VLOOKUP(A7,'04_Product_Master'!$A$2:$N$100,13,FALSE),0)</x:f>
        <x:v>2199</x:v>
      </x:c>
      <x:c r="H7" s="20" t="n">
        <x:f t="shared" si="1">IF(G7=0,0,G7/(1+'01_Settings'!$B$7)-F7)</x:f>
        <x:v>1223.6809090909092</x:v>
      </x:c>
      <x:c r="I7" s="22" t="n">
        <x:f t="shared" si="2">IF(G7=0,0,H7/(G7/(1+'01_Settings'!$B$7)))</x:f>
        <x:v>0.6121186903137791</x:v>
      </x:c>
      <x:c r="J7" s="16" t="str">
        <x:f>IFERROR(VLOOKUP(A7,'04_Product_Master'!$A$2:$N$100,6,FALSE),"")</x:f>
        <x:v>Frozen</x:v>
      </x:c>
      <x:c r="K7" s="16" t="str">
        <x:f>IFERROR(VLOOKUP(A7,'04_Product_Master'!$A$2:$N$100,14,FALSE),"")</x:f>
        <x:v>Controls one existing compatible exhaust fan; fan body excluded.</x:v>
      </x:c>
    </x:row>
    <x:row r="8" ht="16.799999237060547" hidden="0" customHeight="1">
      <x:c r="A8" s="16" t="str">
        <x:v>C-06</x:v>
      </x:c>
      <x:c r="B8" s="16" t="str">
        <x:f>IFERROR(VLOOKUP(A8,'04_Product_Master'!$A$2:$N$100,4,FALSE),"")</x:f>
        <x:v>Away Collection</x:v>
      </x:c>
      <x:c r="C8" s="16" t="str">
        <x:f>IFERROR(VLOOKUP(A8,'04_Product_Master'!$A$2:$N$100,3,FALSE),"")</x:f>
        <x:v>Collection</x:v>
      </x:c>
      <x:c r="D8" s="20" t="n">
        <x:f>SUMIF('07_Product_BOM'!$A$2:$A$300,A8,'07_Product_BOM'!$E$2:$E$300)</x:f>
        <x:v>176</x:v>
      </x:c>
      <x:c r="E8" s="20" t="n">
        <x:f>SUMIF('08_Product_Labour'!$A$2:$A$300,A8,'08_Product_Labour'!$G$2:$G$300)</x:f>
        <x:v>398.739</x:v>
      </x:c>
      <x:c r="F8" s="20" t="n">
        <x:f t="shared" si="0">D8+E8</x:f>
        <x:v>574.739</x:v>
      </x:c>
      <x:c r="G8" s="20" t="n">
        <x:f>IFERROR(VLOOKUP(A8,'04_Product_Master'!$A$2:$N$100,13,FALSE),0)</x:f>
        <x:v>1499</x:v>
      </x:c>
      <x:c r="H8" s="20" t="n">
        <x:f t="shared" si="1">IF(G8=0,0,G8/(1+'01_Settings'!$B$7)-F8)</x:f>
        <x:v>787.9882727272725</x:v>
      </x:c>
      <x:c r="I8" s="22" t="n">
        <x:f t="shared" si="2">IF(G8=0,0,H8/(G8/(1+'01_Settings'!$B$7)))</x:f>
        <x:v>0.5782435623749165</x:v>
      </x:c>
      <x:c r="J8" s="16" t="str">
        <x:f>IFERROR(VLOOKUP(A8,'04_Product_Master'!$A$2:$N$100,6,FALSE),"")</x:f>
        <x:v>Frozen</x:v>
      </x:c>
      <x:c r="K8" s="16" t="str">
        <x:f>IFERROR(VLOOKUP(A8,'04_Product_Master'!$A$2:$N$100,14,FALSE),"")</x:f>
        <x:v>Includes four wireless contacts. Not alarm or security monitoring.</x:v>
      </x:c>
    </x:row>
    <x:row r="9" ht="16.799999237060547" hidden="0" customHeight="1">
      <x:c r="A9" s="16" t="str">
        <x:v>E-01</x:v>
      </x:c>
      <x:c r="B9" s="16" t="str">
        <x:f>IFERROR(VLOOKUP(A9,'04_Product_Master'!$A$2:$N$100,4,FALSE),"")</x:f>
        <x:v>Mood Lighting</x:v>
      </x:c>
      <x:c r="C9" s="16" t="str">
        <x:f>IFERROR(VLOOKUP(A9,'04_Product_Master'!$A$2:$N$100,3,FALSE),"")</x:f>
        <x:v>Experience Pack</x:v>
      </x:c>
      <x:c r="D9" s="20" t="n">
        <x:f>SUMIF('07_Product_BOM'!$A$2:$A$300,A9,'07_Product_BOM'!$E$2:$E$300)</x:f>
        <x:v>370.32</x:v>
      </x:c>
      <x:c r="E9" s="20" t="n">
        <x:f>SUMIF('08_Product_Labour'!$A$2:$A$300,A9,'08_Product_Labour'!$G$2:$G$300)</x:f>
        <x:v>412.5</x:v>
      </x:c>
      <x:c r="F9" s="20" t="n">
        <x:f t="shared" si="0">D9+E9</x:f>
        <x:v>782.8199999999999</x:v>
      </x:c>
      <x:c r="G9" s="20" t="n">
        <x:f>IFERROR(VLOOKUP(A9,'04_Product_Master'!$A$2:$N$100,13,FALSE),0)</x:f>
        <x:v>1499</x:v>
      </x:c>
      <x:c r="H9" s="20" t="n">
        <x:f t="shared" si="1">IF(G9=0,0,G9/(1+'01_Settings'!$B$7)-F9)</x:f>
        <x:v>579.9072727272726</x:v>
      </x:c>
      <x:c r="I9" s="22" t="n">
        <x:f t="shared" si="2">IF(G9=0,0,H9/(G9/(1+'01_Settings'!$B$7)))</x:f>
        <x:v>0.42554903268845895</x:v>
      </x:c>
      <x:c r="J9" s="16" t="str">
        <x:f>IFERROR(VLOOKUP(A9,'04_Product_Master'!$A$2:$N$100,6,FALSE),"")</x:f>
        <x:v>Frozen</x:v>
      </x:c>
      <x:c r="K9" s="16" t="str">
        <x:f>IFERROR(VLOOKUP(A9,'04_Product_Master'!$A$2:$N$100,14,FALSE),"")</x:f>
        <x:v>Two colour zones, total 10m, plus two colour bulbs.</x:v>
      </x:c>
    </x:row>
    <x:row r="10" ht="26.399999618530273" hidden="0" customHeight="1">
      <x:c r="A10" s="16" t="str">
        <x:v>E-02</x:v>
      </x:c>
      <x:c r="B10" s="16" t="str">
        <x:f>IFERROR(VLOOKUP(A10,'04_Product_Master'!$A$2:$N$100,4,FALSE),"")</x:f>
        <x:v>Climate</x:v>
      </x:c>
      <x:c r="C10" s="16" t="str">
        <x:f>IFERROR(VLOOKUP(A10,'04_Product_Master'!$A$2:$N$100,3,FALSE),"")</x:f>
        <x:v>Experience Pack</x:v>
      </x:c>
      <x:c r="D10" s="20" t="n">
        <x:f>SUMIF('07_Product_BOM'!$A$2:$A$300,A10,'07_Product_BOM'!$E$2:$E$300)</x:f>
        <x:v>700</x:v>
      </x:c>
      <x:c r="E10" s="20" t="n">
        <x:f>SUMIF('08_Product_Labour'!$A$2:$A$300,A10,'08_Product_Labour'!$G$2:$G$300)</x:f>
        <x:v>742.5</x:v>
      </x:c>
      <x:c r="F10" s="20" t="n">
        <x:f t="shared" si="0">D10+E10</x:f>
        <x:v>1442.5</x:v>
      </x:c>
      <x:c r="G10" s="20" t="n">
        <x:f>IFERROR(VLOOKUP(A10,'04_Product_Master'!$A$2:$N$100,13,FALSE),0)</x:f>
        <x:v>2699</x:v>
      </x:c>
      <x:c r="H10" s="20" t="n">
        <x:f t="shared" si="1">IF(G10=0,0,G10/(1+'01_Settings'!$B$7)-F10)</x:f>
        <x:v>1011.1363636363635</x:v>
      </x:c>
      <x:c r="I10" s="22" t="n">
        <x:f t="shared" si="2">IF(G10=0,0,H10/(G10/(1+'01_Settings'!$B$7)))</x:f>
        <x:v>0.41209707298999626</x:v>
      </x:c>
      <x:c r="J10" s="16" t="str">
        <x:f>IFERROR(VLOOKUP(A10,'04_Product_Master'!$A$2:$N$100,6,FALSE),"")</x:f>
        <x:v>Frozen</x:v>
      </x:c>
      <x:c r="K10" s="16" t="str">
        <x:f>IFERROR(VLOOKUP(A10,'04_Product_Master'!$A$2:$N$100,14,FALSE),"")</x:f>
        <x:v>Existing operational HVAC and zone motors only. Zones 7-12 expansion $1,299.</x:v>
      </x:c>
    </x:row>
    <x:row r="11" ht="26.399999618530273" hidden="0" customHeight="1">
      <x:c r="A11" s="16" t="str">
        <x:v>E-03</x:v>
      </x:c>
      <x:c r="B11" s="16" t="str">
        <x:f>IFERROR(VLOOKUP(A11,'04_Product_Master'!$A$2:$N$100,4,FALSE),"")</x:f>
        <x:v>Healthy Air</x:v>
      </x:c>
      <x:c r="C11" s="16" t="str">
        <x:f>IFERROR(VLOOKUP(A11,'04_Product_Master'!$A$2:$N$100,3,FALSE),"")</x:f>
        <x:v>Experience Pack</x:v>
      </x:c>
      <x:c r="D11" s="20" t="n">
        <x:f>SUMIF('07_Product_BOM'!$A$2:$A$300,A11,'07_Product_BOM'!$E$2:$E$300)</x:f>
        <x:v>1047</x:v>
      </x:c>
      <x:c r="E11" s="20" t="n">
        <x:f>SUMIF('08_Product_Labour'!$A$2:$A$300,A11,'08_Product_Labour'!$G$2:$G$300)</x:f>
        <x:v>1072.5</x:v>
      </x:c>
      <x:c r="F11" s="20" t="n">
        <x:f t="shared" si="0">D11+E11</x:f>
        <x:v>2119.5</x:v>
      </x:c>
      <x:c r="G11" s="20" t="n">
        <x:f>IFERROR(VLOOKUP(A11,'04_Product_Master'!$A$2:$N$100,13,FALSE),0)</x:f>
        <x:v>2999</x:v>
      </x:c>
      <x:c r="H11" s="20" t="n">
        <x:f t="shared" si="1">IF(G11=0,0,G11/(1+'01_Settings'!$B$7)-F11)</x:f>
        <x:v>606.863636363636</x:v>
      </x:c>
      <x:c r="I11" s="22" t="n">
        <x:f t="shared" si="2">IF(G11=0,0,H11/(G11/(1+'01_Settings'!$B$7)))</x:f>
        <x:v>0.22259086362120697</x:v>
      </x:c>
      <x:c r="J11" s="16" t="str">
        <x:f>IFERROR(VLOOKUP(A11,'04_Product_Master'!$A$2:$N$100,6,FALSE),"")</x:f>
        <x:v>Frozen</x:v>
      </x:c>
      <x:c r="K11" s="16" t="str">
        <x:f>IFERROR(VLOOKUP(A11,'04_Product_Master'!$A$2:$N$100,14,FALSE),"")</x:f>
        <x:v>Provisional price; first installation review required. No filters or PM2.5 claim.</x:v>
      </x:c>
    </x:row>
    <x:row r="12" ht="26.399999618530273" hidden="0" customHeight="1">
      <x:c r="A12" s="16" t="str">
        <x:v>E-04</x:v>
      </x:c>
      <x:c r="B12" s="16" t="str">
        <x:f>IFERROR(VLOOKUP(A12,'04_Product_Master'!$A$2:$N$100,4,FALSE),"")</x:f>
        <x:v>Garden Care</x:v>
      </x:c>
      <x:c r="C12" s="16" t="str">
        <x:f>IFERROR(VLOOKUP(A12,'04_Product_Master'!$A$2:$N$100,3,FALSE),"")</x:f>
        <x:v>Experience Pack</x:v>
      </x:c>
      <x:c r="D12" s="20" t="n">
        <x:f>SUMIF('07_Product_BOM'!$A$2:$A$300,A12,'07_Product_BOM'!$E$2:$E$300)</x:f>
        <x:v>961.15</x:v>
      </x:c>
      <x:c r="E12" s="20" t="n">
        <x:f>SUMIF('08_Product_Labour'!$A$2:$A$300,A12,'08_Product_Labour'!$G$2:$G$300)</x:f>
        <x:v>742.5</x:v>
      </x:c>
      <x:c r="F12" s="20" t="n">
        <x:f t="shared" si="0">D12+E12</x:f>
        <x:v>1703.65</x:v>
      </x:c>
      <x:c r="G12" s="20" t="n">
        <x:f>IFERROR(VLOOKUP(A12,'04_Product_Master'!$A$2:$N$100,13,FALSE),0)</x:f>
        <x:v>2999</x:v>
      </x:c>
      <x:c r="H12" s="20" t="n">
        <x:f t="shared" si="1">IF(G12=0,0,G12/(1+'01_Settings'!$B$7)-F12)</x:f>
        <x:v>1022.7136363636359</x:v>
      </x:c>
      <x:c r="I12" s="22" t="n">
        <x:f t="shared" si="2">IF(G12=0,0,H12/(G12/(1+'01_Settings'!$B$7)))</x:f>
        <x:v>0.37512004001333765</x:v>
      </x:c>
      <x:c r="J12" s="16" t="str">
        <x:f>IFERROR(VLOOKUP(A12,'04_Product_Master'!$A$2:$N$100,6,FALSE),"")</x:f>
        <x:v>Frozen</x:v>
      </x:c>
      <x:c r="K12" s="16" t="str">
        <x:f>IFERROR(VLOOKUP(A12,'04_Product_Master'!$A$2:$N$100,14,FALSE),"")</x:f>
        <x:v>Control infrastructure only. Standard 4 configured zones; hardware capacity 8.</x:v>
      </x:c>
    </x:row>
    <x:row r="13" ht="26.399999618530273" hidden="0" customHeight="1">
      <x:c r="A13" s="16" t="str">
        <x:v>E-05</x:v>
      </x:c>
      <x:c r="B13" s="16" t="str">
        <x:f>IFERROR(VLOOKUP(A13,'04_Product_Master'!$A$2:$N$100,4,FALSE),"")</x:f>
        <x:v>Protection Bonus</x:v>
      </x:c>
      <x:c r="C13" s="16" t="str">
        <x:f>IFERROR(VLOOKUP(A13,'04_Product_Master'!$A$2:$N$100,3,FALSE),"")</x:f>
        <x:v>Bonus</x:v>
      </x:c>
      <x:c r="D13" s="20" t="n">
        <x:f>SUMIF('07_Product_BOM'!$A$2:$A$300,A13,'07_Product_BOM'!$E$2:$E$300)</x:f>
        <x:v>0</x:v>
      </x:c>
      <x:c r="E13" s="20" t="n">
        <x:f>SUMIF('08_Product_Labour'!$A$2:$A$300,A13,'08_Product_Labour'!$G$2:$G$300)</x:f>
        <x:v>0</x:v>
      </x:c>
      <x:c r="F13" s="20" t="n">
        <x:f t="shared" si="0">D13+E13</x:f>
        <x:v>0</x:v>
      </x:c>
      <x:c r="G13" s="20" t="n">
        <x:f>IFERROR(VLOOKUP(A13,'04_Product_Master'!$A$2:$N$100,13,FALSE),0)</x:f>
        <x:v>0</x:v>
      </x:c>
      <x:c r="H13" s="20" t="n">
        <x:f t="shared" si="1">IF(G13=0,0,G13/(1+'01_Settings'!$B$7)-F13)</x:f>
        <x:v>0</x:v>
      </x:c>
      <x:c r="I13" s="22" t="n">
        <x:f t="shared" si="2">IF(G13=0,0,H13/(G13/(1+'01_Settings'!$B$7)))</x:f>
        <x:v>0</x:v>
      </x:c>
      <x:c r="J13" s="16" t="str">
        <x:f>IFERROR(VLOOKUP(A13,'04_Product_Master'!$A$2:$N$100,6,FALSE),"")</x:f>
        <x:v>Frozen</x:v>
      </x:c>
      <x:c r="K13" s="16" t="str">
        <x:f>IFERROR(VLOOKUP(A13,'04_Product_Master'!$A$2:$N$100,14,FALSE),"")</x:f>
        <x:v>Not separately purchasable. Camera white light and selected front-visible lights respond.</x:v>
      </x:c>
    </x:row>
    <x:row r="14" ht="26.399999618530273" hidden="0" customHeight="1">
      <x:c r="A14" s="16" t="str">
        <x:v>E-06</x:v>
      </x:c>
      <x:c r="B14" s="16" t="str">
        <x:f>IFERROR(VLOOKUP(A14,'04_Product_Master'!$A$2:$N$100,4,FALSE),"")</x:f>
        <x:v>CCTV</x:v>
      </x:c>
      <x:c r="C14" s="16" t="str">
        <x:f>IFERROR(VLOOKUP(A14,'04_Product_Master'!$A$2:$N$100,3,FALSE),"")</x:f>
        <x:v>Product Pack</x:v>
      </x:c>
      <x:c r="D14" s="20" t="n">
        <x:f>SUMIF('07_Product_BOM'!$A$2:$A$300,A14,'07_Product_BOM'!$E$2:$E$300)</x:f>
        <x:v>1962.8</x:v>
      </x:c>
      <x:c r="E14" s="20" t="n">
        <x:f>SUMIF('08_Product_Labour'!$A$2:$A$300,A14,'08_Product_Labour'!$G$2:$G$300)</x:f>
        <x:v>825</x:v>
      </x:c>
      <x:c r="F14" s="20" t="n">
        <x:f t="shared" si="0">D14+E14</x:f>
        <x:v>2787.8</x:v>
      </x:c>
      <x:c r="G14" s="20" t="n">
        <x:f>IFERROR(VLOOKUP(A14,'04_Product_Master'!$A$2:$N$100,13,FALSE),0)</x:f>
        <x:v>3999</x:v>
      </x:c>
      <x:c r="H14" s="20" t="n">
        <x:f t="shared" si="1">IF(G14=0,0,G14/(1+'01_Settings'!$B$7)-F14)</x:f>
        <x:v>847.6545454545449</x:v>
      </x:c>
      <x:c r="I14" s="22" t="n">
        <x:f t="shared" si="2">IF(G14=0,0,H14/(G14/(1+'01_Settings'!$B$7)))</x:f>
        <x:v>0.23316329082270554</x:v>
      </x:c>
      <x:c r="J14" s="16" t="str">
        <x:f>IFERROR(VLOOKUP(A14,'04_Product_Master'!$A$2:$N$100,6,FALSE),"")</x:f>
        <x:v>Frozen</x:v>
      </x:c>
      <x:c r="K14" s="16" t="str">
        <x:f>IFERROR(VLOOKUP(A14,'04_Product_Master'!$A$2:$N$100,14,FALSE),"")</x:f>
        <x:v>From price. 4 HiLook 8MP cameras, Hikvision 8-channel VPro NVR, 4TB.</x:v>
      </x:c>
    </x:row>
    <x:row r="15" ht="16.799999237060547" hidden="0" customHeight="1">
      <x:c r="A15" s="16" t="str">
        <x:v>E-07</x:v>
      </x:c>
      <x:c r="B15" s="16" t="str">
        <x:f>IFERROR(VLOOKUP(A15,'04_Product_Master'!$A$2:$N$100,4,FALSE),"")</x:f>
        <x:v>Smart Toilet</x:v>
      </x:c>
      <x:c r="C15" s="16" t="str">
        <x:f>IFERROR(VLOOKUP(A15,'04_Product_Master'!$A$2:$N$100,3,FALSE),"")</x:f>
        <x:v>Standalone Product</x:v>
      </x:c>
      <x:c r="D15" s="20" t="n">
        <x:f>SUMIF('07_Product_BOM'!$A$2:$A$300,A15,'07_Product_BOM'!$E$2:$E$300)</x:f>
        <x:v>1800</x:v>
      </x:c>
      <x:c r="E15" s="20" t="n">
        <x:f>SUMIF('08_Product_Labour'!$A$2:$A$300,A15,'08_Product_Labour'!$G$2:$G$300)</x:f>
        <x:v>0</x:v>
      </x:c>
      <x:c r="F15" s="20" t="n">
        <x:f t="shared" si="0">D15+E15</x:f>
        <x:v>1800</x:v>
      </x:c>
      <x:c r="G15" s="20" t="n">
        <x:f>IFERROR(VLOOKUP(A15,'04_Product_Master'!$A$2:$N$100,13,FALSE),0)</x:f>
        <x:v>3299</x:v>
      </x:c>
      <x:c r="H15" s="20" t="n">
        <x:f t="shared" si="1">IF(G15=0,0,G15/(1+'01_Settings'!$B$7)-F15)</x:f>
        <x:v>1199.090909090909</x:v>
      </x:c>
      <x:c r="I15" s="22" t="n">
        <x:f t="shared" si="2">IF(G15=0,0,H15/(G15/(1+'01_Settings'!$B$7)))</x:f>
        <x:v>0.3998181267050621</x:v>
      </x:c>
      <x:c r="J15" s="16" t="str">
        <x:f>IFERROR(VLOOKUP(A15,'04_Product_Master'!$A$2:$N$100,6,FALSE),"")</x:f>
        <x:v>Frozen</x:v>
      </x:c>
      <x:c r="K15" s="16" t="str">
        <x:f>IFERROR(VLOOKUP(A15,'04_Product_Master'!$A$2:$N$100,14,FALSE),"")</x:f>
        <x:v>Supply only. Delivery, plumbing and electrical work excluded.</x:v>
      </x:c>
    </x:row>
  </x:sheetData>
  <x:pageMargins left="0.7" right="0.7" top="0.75" bottom="0.75" header="0.3" footer="0.3"/>
  <x:tableParts count="1">
    <x:tablePart xmlns:r="http://schemas.openxmlformats.org/officeDocument/2006/relationships" r:id="Re7968a1605d346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hidden="0" customWidth="1"/>
    <x:col min="2" max="2" width="31" hidden="0" customWidth="1"/>
    <x:col min="3" max="3" width="47" hidden="0" customWidth="1"/>
    <x:col min="4" max="4" width="19" hidden="0" customWidth="1"/>
    <x:col min="5" max="5" width="42" hidden="0" customWidth="1"/>
    <x:col min="6" max="6" width="30" hidden="0" customWidth="1"/>
    <x:col min="7" max="7" width="37" hidden="0" customWidth="1"/>
    <x:col min="8" max="8" width="17" hidden="0" customWidth="1"/>
    <x:col min="9" max="9" width="10" hidden="0" customWidth="1"/>
    <x:col min="10" max="10" width="42" hidden="0" customWidth="1"/>
  </x:cols>
  <x:sheetData>
    <x:row r="1" ht="26.399999618530273" hidden="0" customHeight="1">
      <x:c r="A1" s="23" t="str">
        <x:v>Add-on ID</x:v>
      </x:c>
      <x:c r="B1" s="23" t="str">
        <x:v>Canonical Product Name</x:v>
      </x:c>
      <x:c r="C1" s="23" t="str">
        <x:v>Experience Promise</x:v>
      </x:c>
      <x:c r="D1" s="23" t="str">
        <x:v>Parent Product ID</x:v>
      </x:c>
      <x:c r="E1" s="23" t="str">
        <x:v>Standard Scope Unit</x:v>
      </x:c>
      <x:c r="F1" s="23" t="str">
        <x:v>Default SKU / Capability</x:v>
      </x:c>
      <x:c r="G1" s="23" t="str">
        <x:v>Direct Cost Formula Basis</x:v>
      </x:c>
      <x:c r="H1" s="23" t="str">
        <x:v>Customer Price incl GST</x:v>
      </x:c>
      <x:c r="I1" s="16" t="str">
        <x:v>Status</x:v>
      </x:c>
      <x:c r="J1" s="16" t="str">
        <x:v>Installation Assumptions</x:v>
      </x:c>
    </x:row>
    <x:row r="2" ht="26.399999618530273" hidden="0" customHeight="1">
      <x:c r="A2" s="16" t="str">
        <x:v>AO-001</x:v>
      </x:c>
      <x:c r="B2" s="16" t="str">
        <x:v>Additional 6-Circuit Light Switch</x:v>
      </x:c>
      <x:c r="C2" s="16" t="str">
        <x:v>Extend the same lighting control to more circuits in the room.</x:v>
      </x:c>
      <x:c r="D2" s="16" t="str">
        <x:v>C-01/C-02/C-03/C-04/C-05</x:v>
      </x:c>
      <x:c r="E2" s="16" t="str">
        <x:v>One switch; up to 6 compatible on/off lighting circuits</x:v>
      </x:c>
      <x:c r="F2" s="20" t="str">
        <x:v>SW-001</x:v>
      </x:c>
      <x:c r="G2" s="16" t="str">
        <x:v>Device + standard install/program/test</x:v>
      </x:c>
      <x:c r="H2" s="28" t="n">
        <x:v>299</x:v>
      </x:c>
      <x:c r="I2" s="16" t="str">
        <x:v>Frozen</x:v>
      </x:c>
      <x:c r="J2" s="16" t="str">
        <x:v>Same compatible Collection only</x:v>
      </x:c>
    </x:row>
    <x:row r="3" ht="16.799999237060547" hidden="0" customHeight="1">
      <x:c r="A3" s="16" t="str">
        <x:v>AO-002</x:v>
      </x:c>
      <x:c r="B3" s="16" t="str">
        <x:v>Additional Dimmable Lighting Circuit</x:v>
      </x:c>
      <x:c r="C3" s="16" t="str">
        <x:v>Bring another light into the room’s brighter and softer scenes.</x:v>
      </x:c>
      <x:c r="D3" s="16" t="str">
        <x:v>C-02/C-03/C-04/C-05</x:v>
      </x:c>
      <x:c r="E3" s="16" t="str">
        <x:v>One compatible dimmable lighting circuit</x:v>
      </x:c>
      <x:c r="F3" s="20" t="str">
        <x:v>DM-001</x:v>
      </x:c>
      <x:c r="G3" s="16" t="str">
        <x:v>Device + standard install/program/test</x:v>
      </x:c>
      <x:c r="H3" s="28" t="n">
        <x:v>299</x:v>
      </x:c>
      <x:c r="I3" s="16" t="str">
        <x:v>Frozen</x:v>
      </x:c>
      <x:c r="J3" s="16" t="str">
        <x:v>Same compatible Collection only</x:v>
      </x:c>
    </x:row>
    <x:row r="4" ht="26.399999618530273" hidden="0" customHeight="1">
      <x:c r="A4" s="16" t="str">
        <x:v>AO-003</x:v>
      </x:c>
      <x:c r="B4" s="16" t="str">
        <x:v>Additional Warm Ambient Zone</x:v>
      </x:c>
      <x:c r="C4" s="16" t="str">
        <x:v>Carry the same warm atmosphere into another detail.</x:v>
      </x:c>
      <x:c r="D4" s="16" t="str">
        <x:v>C-02/C-03/C-04/C-05</x:v>
      </x:c>
      <x:c r="E4" s="16" t="str">
        <x:v>One warm dimmable silicone-light zone; up to 3m</x:v>
      </x:c>
      <x:c r="F4" s="20" t="str">
        <x:v>RGB-CTRL + PSU-24-76 + WW-STRIP-3</x:v>
      </x:c>
      <x:c r="G4" s="16" t="str">
        <x:v>Device + up to 3m + install/program/test</x:v>
      </x:c>
      <x:c r="H4" s="28" t="n">
        <x:v>499</x:v>
      </x:c>
      <x:c r="I4" s="16" t="str">
        <x:v>Frozen</x:v>
      </x:c>
      <x:c r="J4" s="16" t="str">
        <x:v>Does not create another room</x:v>
      </x:c>
    </x:row>
    <x:row r="5" ht="26.399999618530273" hidden="0" customHeight="1">
      <x:c r="A5" s="16" t="str">
        <x:v>AO-004</x:v>
      </x:c>
      <x:c r="B5" s="16" t="str">
        <x:v>Additional Colour Zone</x:v>
      </x:c>
      <x:c r="C5" s="16" t="str">
        <x:v>Add another layer of colour to the same room.</x:v>
      </x:c>
      <x:c r="D5" s="16" t="str">
        <x:v>E-01</x:v>
      </x:c>
      <x:c r="E5" s="16" t="str">
        <x:v>One RGBW silicone-light zone; up to 5m</x:v>
      </x:c>
      <x:c r="F5" s="20" t="str">
        <x:v>RGB-CTRL + PSU-24-76 + RGB-STRIP-5</x:v>
      </x:c>
      <x:c r="G5" s="16" t="str">
        <x:v>Device + up to 5m + install/program/test</x:v>
      </x:c>
      <x:c r="H5" s="28" t="n">
        <x:v>499</x:v>
      </x:c>
      <x:c r="I5" s="16" t="str">
        <x:v>Frozen</x:v>
      </x:c>
      <x:c r="J5" s="16" t="str">
        <x:v>Mood Lighting only</x:v>
      </x:c>
    </x:row>
    <x:row r="6" ht="26.399999618530273" hidden="0" customHeight="1">
      <x:c r="A6" s="16" t="str">
        <x:v>AO-005</x:v>
      </x:c>
      <x:c r="B6" s="16" t="str">
        <x:v>Additional Automated Curtain</x:v>
      </x:c>
      <x:c r="C6" s="16" t="str">
        <x:v>Expand the same calm atmosphere to another window.</x:v>
      </x:c>
      <x:c r="D6" s="16" t="str">
        <x:v>C-02/C-04</x:v>
      </x:c>
      <x:c r="E6" s="16" t="str">
        <x:v>One motor and one straight track up to 3m</x:v>
      </x:c>
      <x:c r="F6" s="20" t="str">
        <x:v>CM-001 + CT-001</x:v>
      </x:c>
      <x:c r="G6" s="16" t="str">
        <x:v>Motor + straight track &lt;=3m + install/program/test</x:v>
      </x:c>
      <x:c r="H6" s="28" t="n">
        <x:v>799</x:v>
      </x:c>
      <x:c r="I6" s="16" t="str">
        <x:v>Frozen</x:v>
      </x:c>
      <x:c r="J6" s="16" t="str">
        <x:v>Fabric and sheers excluded; over 3m or custom shape quoted</x:v>
      </x:c>
    </x:row>
    <x:row r="7" ht="16.799999237060547" hidden="0" customHeight="1">
      <x:c r="A7" s="16" t="str">
        <x:v>AO-006</x:v>
      </x:c>
      <x:c r="B7" s="16" t="str">
        <x:v>Additional Multifunction Room Sensor</x:v>
      </x:c>
      <x:c r="C7" s="16" t="str">
        <x:v>Extend room awareness and compatible infrared control.</x:v>
      </x:c>
      <x:c r="D7" s="16" t="str">
        <x:v>C-02/C-04</x:v>
      </x:c>
      <x:c r="E7" s="16" t="str">
        <x:v>One multifunction room sensor</x:v>
      </x:c>
      <x:c r="F7" s="20" t="str">
        <x:v>SN-001</x:v>
      </x:c>
      <x:c r="G7" s="16" t="str">
        <x:v>Device + install/program/test</x:v>
      </x:c>
      <x:c r="H7" s="28" t="n">
        <x:v>499</x:v>
      </x:c>
      <x:c r="I7" s="16" t="str">
        <x:v>Frozen</x:v>
      </x:c>
      <x:c r="J7" s="16" t="str">
        <x:v>Same room only</x:v>
      </x:c>
    </x:row>
    <x:row r="8" ht="16.799999237060547" hidden="0" customHeight="1">
      <x:c r="A8" s="16" t="str">
        <x:v>AO-007</x:v>
      </x:c>
      <x:c r="B8" s="16" t="str">
        <x:v>Additional Room Occupancy Sensor</x:v>
      </x:c>
      <x:c r="C8" s="16" t="str">
        <x:v>Let another area welcome you and settle more naturally.</x:v>
      </x:c>
      <x:c r="D8" s="16" t="str">
        <x:v>C-01/C-03/C-05</x:v>
      </x:c>
      <x:c r="E8" s="16" t="str">
        <x:v>One indoor occupancy sensor</x:v>
      </x:c>
      <x:c r="F8" s="20" t="str">
        <x:v>OCC-001</x:v>
      </x:c>
      <x:c r="G8" s="16" t="str">
        <x:v>Device + install/program/test</x:v>
      </x:c>
      <x:c r="H8" s="28" t="n">
        <x:v>449</x:v>
      </x:c>
      <x:c r="I8" s="16" t="str">
        <x:v>Frozen</x:v>
      </x:c>
      <x:c r="J8" s="16" t="str">
        <x:v>Same room or Entry only</x:v>
      </x:c>
    </x:row>
    <x:row r="9" ht="16.799999237060547" hidden="0" customHeight="1">
      <x:c r="A9" s="16" t="str">
        <x:v>AO-008</x:v>
      </x:c>
      <x:c r="B9" s="16" t="str">
        <x:v>Additional Outdoor Arrival Sensor</x:v>
      </x:c>
      <x:c r="C9" s="16" t="str">
        <x:v>Prepare another approach as someone arrives.</x:v>
      </x:c>
      <x:c r="D9" s="16" t="str">
        <x:v>C-01</x:v>
      </x:c>
      <x:c r="E9" s="16" t="str">
        <x:v>One outdoor PIR movement sensor</x:v>
      </x:c>
      <x:c r="F9" s="20" t="str">
        <x:v>PIR-001</x:v>
      </x:c>
      <x:c r="G9" s="16" t="str">
        <x:v>Device + install/program/test</x:v>
      </x:c>
      <x:c r="H9" s="28" t="n">
        <x:v>349</x:v>
      </x:c>
      <x:c r="I9" s="16" t="str">
        <x:v>Frozen</x:v>
      </x:c>
      <x:c r="J9" s="16" t="str">
        <x:v>Same Entry only</x:v>
      </x:c>
    </x:row>
    <x:row r="10" ht="16.799999237060547" hidden="0" customHeight="1">
      <x:c r="A10" s="16" t="str">
        <x:v>AO-009</x:v>
      </x:c>
      <x:c r="B10" s="16" t="str">
        <x:v>Additional Smart Speaker</x:v>
      </x:c>
      <x:c r="C10" s="16" t="str">
        <x:v>Bring natural voice access to another place in the room.</x:v>
      </x:c>
      <x:c r="D10" s="16" t="str">
        <x:v>C-02/C-04</x:v>
      </x:c>
      <x:c r="E10" s="16" t="str">
        <x:v>One compatible smart speaker</x:v>
      </x:c>
      <x:c r="F10" s="20" t="str">
        <x:v>SP-001</x:v>
      </x:c>
      <x:c r="G10" s="16" t="str">
        <x:v>Transparent retail device + configuration</x:v>
      </x:c>
      <x:c r="H10" s="28" t="n">
        <x:v>299</x:v>
      </x:c>
      <x:c r="I10" s="16" t="str">
        <x:v>Frozen</x:v>
      </x:c>
      <x:c r="J10" s="16" t="str">
        <x:v>Subscriptions and content excluded</x:v>
      </x:c>
    </x:row>
    <x:row r="11" ht="26.399999618530273" hidden="0" customHeight="1">
      <x:c r="A11" s="16" t="str">
        <x:v>AO-010</x:v>
      </x:c>
      <x:c r="B11" s="16" t="str">
        <x:v>Additional Smart Display</x:v>
      </x:c>
      <x:c r="C11" s="16" t="str">
        <x:v>Keep information and control visible from another point in the kitchen.</x:v>
      </x:c>
      <x:c r="D11" s="16" t="str">
        <x:v>C-03</x:v>
      </x:c>
      <x:c r="E11" s="16" t="str">
        <x:v>One compatible smart display</x:v>
      </x:c>
      <x:c r="F11" s="20" t="str">
        <x:v>HUB-001</x:v>
      </x:c>
      <x:c r="G11" s="16" t="str">
        <x:v>Transparent retail device + configuration</x:v>
      </x:c>
      <x:c r="H11" s="28" t="n">
        <x:v>249</x:v>
      </x:c>
      <x:c r="I11" s="16" t="str">
        <x:v>Frozen</x:v>
      </x:c>
      <x:c r="J11" s="16" t="str">
        <x:v>Same Kitchen only</x:v>
      </x:c>
    </x:row>
    <x:row r="12" ht="16.799999237060547" hidden="0" customHeight="1">
      <x:c r="A12" s="16" t="str">
        <x:v>AO-011</x:v>
      </x:c>
      <x:c r="B12" s="16" t="str">
        <x:v>Additional Smart Appliance Outlet</x:v>
      </x:c>
      <x:c r="C12" s="16" t="str">
        <x:v>Bring one more compatible appliance into the kitchen routine.</x:v>
      </x:c>
      <x:c r="D12" s="16" t="str">
        <x:v>C-03</x:v>
      </x:c>
      <x:c r="E12" s="16" t="str">
        <x:v>One compatible plug-in appliance outlet</x:v>
      </x:c>
      <x:c r="F12" s="20" t="str">
        <x:v>PLG-001</x:v>
      </x:c>
      <x:c r="G12" s="16" t="str">
        <x:v>Transparent retail device + configuration</x:v>
      </x:c>
      <x:c r="H12" s="28" t="n">
        <x:v>69</x:v>
      </x:c>
      <x:c r="I12" s="16" t="str">
        <x:v>Frozen</x:v>
      </x:c>
      <x:c r="J12" s="16" t="str">
        <x:v>Compatible safe appliance only</x:v>
      </x:c>
    </x:row>
    <x:row r="13" ht="26.399999618530273" hidden="0" customHeight="1">
      <x:c r="A13" s="16" t="str">
        <x:v>AO-012</x:v>
      </x:c>
      <x:c r="B13" s="16" t="str">
        <x:v>Additional Bedside Scene Remote</x:v>
      </x:c>
      <x:c r="C13" s="16" t="str">
        <x:v>Keep the same four bedroom scenes within reach from another bedside position.</x:v>
      </x:c>
      <x:c r="D13" s="16" t="str">
        <x:v>C-04</x:v>
      </x:c>
      <x:c r="E13" s="16" t="str">
        <x:v>One four-button bedside remote with 4 programmed scenes</x:v>
      </x:c>
      <x:c r="F13" s="20" t="str">
        <x:v>BED-REMOTE</x:v>
      </x:c>
      <x:c r="G13" s="16" t="str">
        <x:v>Device + four-scene configuration</x:v>
      </x:c>
      <x:c r="H13" s="28" t="n">
        <x:v>199</x:v>
      </x:c>
      <x:c r="I13" s="16" t="str">
        <x:v>Frozen</x:v>
      </x:c>
      <x:c r="J13" s="16" t="str">
        <x:v>Same Bedroom only</x:v>
      </x:c>
    </x:row>
    <x:row r="14" ht="16.799999237060547" hidden="0" customHeight="1">
      <x:c r="A14" s="16" t="str">
        <x:v>AO-013</x:v>
      </x:c>
      <x:c r="B14" s="16" t="str">
        <x:v>Additional Smart Lock</x:v>
      </x:c>
      <x:c r="C14" s="16" t="str">
        <x:v>Bring the same deliberate access to another compatible entry.</x:v>
      </x:c>
      <x:c r="D14" s="16" t="str">
        <x:v>C-01</x:v>
      </x:c>
      <x:c r="E14" s="16" t="str">
        <x:v>One compatible smart lock</x:v>
      </x:c>
      <x:c r="F14" s="20" t="str">
        <x:v>LK-001</x:v>
      </x:c>
      <x:c r="G14" s="16" t="str">
        <x:v>Device + standard compatible-door install</x:v>
      </x:c>
      <x:c r="H14" s="28" t="n">
        <x:v>599</x:v>
      </x:c>
      <x:c r="I14" s="16" t="str">
        <x:v>Frozen</x:v>
      </x:c>
      <x:c r="J14" s="16" t="str">
        <x:v>Special door preparation quoted</x:v>
      </x:c>
    </x:row>
    <x:row r="15" ht="16.799999237060547" hidden="0" customHeight="1">
      <x:c r="A15" s="16" t="str">
        <x:v>AO-014</x:v>
      </x:c>
      <x:c r="B15" s="16" t="str">
        <x:v>Additional Wireless Video Doorbell</x:v>
      </x:c>
      <x:c r="C15" s="16" t="str">
        <x:v>See and answer another entrance.</x:v>
      </x:c>
      <x:c r="D15" s="16" t="str">
        <x:v>C-01</x:v>
      </x:c>
      <x:c r="E15" s="16" t="str">
        <x:v>One compatible wireless video doorbell</x:v>
      </x:c>
      <x:c r="F15" s="20" t="str">
        <x:v>DB-001</x:v>
      </x:c>
      <x:c r="G15" s="16" t="str">
        <x:v>Transparent retail device + configuration</x:v>
      </x:c>
      <x:c r="H15" s="28" t="n">
        <x:v>149</x:v>
      </x:c>
      <x:c r="I15" s="16" t="str">
        <x:v>Frozen</x:v>
      </x:c>
      <x:c r="J15" s="16" t="str">
        <x:v>Subscription excluded</x:v>
      </x:c>
    </x:row>
    <x:row r="16" ht="26.399999618530273" hidden="0" customHeight="1">
      <x:c r="A16" s="16" t="str">
        <x:v>AO-015</x:v>
      </x:c>
      <x:c r="B16" s="16" t="str">
        <x:v>Additional Garage Door Control</x:v>
      </x:c>
      <x:c r="C16" s="16" t="str">
        <x:v>Bring deliberate garage control into the same Entry experience.</x:v>
      </x:c>
      <x:c r="D16" s="16" t="str">
        <x:v>C-01</x:v>
      </x:c>
      <x:c r="E16" s="16" t="str">
        <x:v>One compatible dry-contact garage-door control</x:v>
      </x:c>
      <x:c r="F16" s="20" t="str">
        <x:v>GAR-REL</x:v>
      </x:c>
      <x:c r="G16" s="16" t="str">
        <x:v>Device + compatible dry-contact install</x:v>
      </x:c>
      <x:c r="H16" s="28" t="n">
        <x:v>199</x:v>
      </x:c>
      <x:c r="I16" s="16" t="str">
        <x:v>Frozen</x:v>
      </x:c>
      <x:c r="J16" s="16" t="str">
        <x:v>Manual app or screen control only; no automatic opening</x:v>
      </x:c>
    </x:row>
    <x:row r="17" ht="26.399999618530273" hidden="0" customHeight="1">
      <x:c r="A17" s="16" t="str">
        <x:v>AO-016</x:v>
      </x:c>
      <x:c r="B17" s="16" t="str">
        <x:v>Additional Compatible Split-System Control</x:v>
      </x:c>
      <x:c r="C17" s="16" t="str">
        <x:v>Let another compatible split system follow the room scene.</x:v>
      </x:c>
      <x:c r="D17" s="16" t="str">
        <x:v>C-02/C-04</x:v>
      </x:c>
      <x:c r="E17" s="16" t="str">
        <x:v>Programming for one compatible infrared split system</x:v>
      </x:c>
      <x:c r="F17" s="20" t="str">
        <x:v>IR capability</x:v>
      </x:c>
      <x:c r="G17" s="16" t="str">
        <x:v>IR learning + programming + test</x:v>
      </x:c>
      <x:c r="H17" s="28" t="n">
        <x:v>199</x:v>
      </x:c>
      <x:c r="I17" s="16" t="str">
        <x:v>Frozen</x:v>
      </x:c>
      <x:c r="J17" s="16" t="str">
        <x:v>Existing sensor coverage required; otherwise add sensor</x:v>
      </x:c>
    </x:row>
    <x:row r="18" ht="26.399999618530273" hidden="0" customHeight="1">
      <x:c r="A18" s="16" t="str">
        <x:v>AO-017</x:v>
      </x:c>
      <x:c r="B18" s="16" t="str">
        <x:v>Additional Exhaust Fan Control</x:v>
      </x:c>
      <x:c r="C18" s="16" t="str">
        <x:v>Help another existing fan continue until the room has recovered.</x:v>
      </x:c>
      <x:c r="D18" s="16" t="str">
        <x:v>C-05</x:v>
      </x:c>
      <x:c r="E18" s="16" t="str">
        <x:v>Control of one existing compatible exhaust fan</x:v>
      </x:c>
      <x:c r="F18" s="20" t="str">
        <x:v>Spare switch circuit capability</x:v>
      </x:c>
      <x:c r="G18" s="16" t="str">
        <x:v>Connection + programming + test</x:v>
      </x:c>
      <x:c r="H18" s="28" t="n">
        <x:v>199</x:v>
      </x:c>
      <x:c r="I18" s="16" t="str">
        <x:v>Frozen</x:v>
      </x:c>
      <x:c r="J18" s="16" t="str">
        <x:v>Fan body excluded; add switch if no spare circuit</x:v>
      </x:c>
    </x:row>
    <x:row r="19" ht="16.799999237060547" hidden="0" customHeight="1">
      <x:c r="A19" s="16" t="str">
        <x:v>AO-018</x:v>
      </x:c>
      <x:c r="B19" s="16" t="str">
        <x:v>Additional Door / Window Contact</x:v>
      </x:c>
      <x:c r="C19" s="16" t="str">
        <x:v>Extend Away awareness to another selected opening.</x:v>
      </x:c>
      <x:c r="D19" s="16" t="str">
        <x:v>C-06</x:v>
      </x:c>
      <x:c r="E19" s="16" t="str">
        <x:v>One wireless door or window contact</x:v>
      </x:c>
      <x:c r="F19" s="20" t="str">
        <x:v>MAG-001</x:v>
      </x:c>
      <x:c r="G19" s="16" t="str">
        <x:v>Device + install/program/test</x:v>
      </x:c>
      <x:c r="H19" s="28" t="n">
        <x:v>149</x:v>
      </x:c>
      <x:c r="I19" s="16" t="str">
        <x:v>Frozen</x:v>
      </x:c>
      <x:c r="J19" s="16" t="str">
        <x:v>Away Collection only</x:v>
      </x:c>
    </x:row>
    <x:row r="20" ht="16.799999237060547" hidden="0" customHeight="1">
      <x:c r="A20" s="16" t="str">
        <x:v>AO-019</x:v>
      </x:c>
      <x:c r="B20" s="16" t="str">
        <x:v>Climate Zone Expansion - Zones 7-12</x:v>
      </x:c>
      <x:c r="C20" s="16" t="str">
        <x:v>Let more existing zones join the home’s comfort rhythm.</x:v>
      </x:c>
      <x:c r="D20" s="16" t="str">
        <x:v>E-02</x:v>
      </x:c>
      <x:c r="E20" s="16" t="str">
        <x:v>Second zone controller supporting existing zones 7-12</x:v>
      </x:c>
      <x:c r="F20" s="20" t="str">
        <x:v>ZONE-CTRL</x:v>
      </x:c>
      <x:c r="G20" s="16" t="str">
        <x:v>Second controller + install/program/test</x:v>
      </x:c>
      <x:c r="H20" s="28" t="n">
        <x:v>1299</x:v>
      </x:c>
      <x:c r="I20" s="16" t="str">
        <x:v>Frozen</x:v>
      </x:c>
      <x:c r="J20" s="16" t="str">
        <x:v>Existing operational zones only</x:v>
      </x:c>
    </x:row>
    <x:row r="21" ht="16.799999237060547" hidden="0" customHeight="1">
      <x:c r="A21" s="16" t="str">
        <x:v>AO-020</x:v>
      </x:c>
      <x:c r="B21" s="16" t="str">
        <x:v>Additional Irrigation Zone Configuration</x:v>
      </x:c>
      <x:c r="C21" s="16" t="str">
        <x:v>Bring another irrigation zone into the garden schedule.</x:v>
      </x:c>
      <x:c r="D21" s="16" t="str">
        <x:v>E-04</x:v>
      </x:c>
      <x:c r="E21" s="16" t="str">
        <x:v>Programming of one existing spare relay output</x:v>
      </x:c>
      <x:c r="F21" s="20" t="str">
        <x:v>Existing spare relay output</x:v>
      </x:c>
      <x:c r="G21" s="16" t="str">
        <x:v>Programming and commissioning</x:v>
      </x:c>
      <x:c r="H21" s="28" t="n">
        <x:v>99</x:v>
      </x:c>
      <x:c r="I21" s="16" t="str">
        <x:v>Frozen</x:v>
      </x:c>
      <x:c r="J21" s="16" t="str">
        <x:v>Zones 5-8 only; valve and field wiring by landscaper</x:v>
      </x:c>
    </x:row>
    <x:row r="22" ht="26.399999618530273" hidden="0" customHeight="1">
      <x:c r="A22" s="16" t="str">
        <x:v>AO-021</x:v>
      </x:c>
      <x:c r="B22" s="16" t="str">
        <x:v>Additional 8MP CCTV Camera</x:v>
      </x:c>
      <x:c r="C22" s="16" t="str">
        <x:v>Extend professional visibility to another part of the property.</x:v>
      </x:c>
      <x:c r="D22" s="16" t="str">
        <x:v>E-06</x:v>
      </x:c>
      <x:c r="E22" s="16" t="str">
        <x:v>One 8MP camera with standard cable, installation and setup</x:v>
      </x:c>
      <x:c r="F22" s="20" t="str">
        <x:v>CAM-8MP</x:v>
      </x:c>
      <x:c r="G22" s="16" t="str">
        <x:v>Camera + standard cable/install/configuration</x:v>
      </x:c>
      <x:c r="H22" s="28" t="n">
        <x:v>699</x:v>
      </x:c>
      <x:c r="I22" s="16" t="str">
        <x:v>Frozen</x:v>
      </x:c>
      <x:c r="J22" s="16" t="str">
        <x:v>Maximum system total: 8 cameras</x:v>
      </x:c>
    </x:row>
    <x:row r="23" ht="26.399999618530273" hidden="0" customHeight="1">
      <x:c r="A23" s="16" t="str">
        <x:v>AO-022</x:v>
      </x:c>
      <x:c r="B23" s="16" t="str">
        <x:v>Additional 180-Degree CCTV Camera</x:v>
      </x:c>
      <x:c r="C23" s="16" t="str">
        <x:v>See a wider part of the property in one composed view.</x:v>
      </x:c>
      <x:c r="D23" s="16" t="str">
        <x:v>E-06</x:v>
      </x:c>
      <x:c r="E23" s="16" t="str">
        <x:v>One 180-degree camera with standard cable, installation and setup</x:v>
      </x:c>
      <x:c r="F23" s="20" t="str">
        <x:v>CAM-180</x:v>
      </x:c>
      <x:c r="G23" s="16" t="str">
        <x:v>Camera + standard cable/install/configuration</x:v>
      </x:c>
      <x:c r="H23" s="28" t="n">
        <x:v>799</x:v>
      </x:c>
      <x:c r="I23" s="16" t="str">
        <x:v>Frozen</x:v>
      </x:c>
      <x:c r="J23" s="16" t="str">
        <x:v>Uses one NVR channel</x:v>
      </x:c>
    </x:row>
    <x:row r="24" ht="26.399999618530273" hidden="0" customHeight="1">
      <x:c r="A24" s="16" t="str">
        <x:v>AO-023</x:v>
      </x:c>
      <x:c r="B24" s="16" t="str">
        <x:v>180-Degree Camera Replacement Upgrade</x:v>
      </x:c>
      <x:c r="C24" s="16" t="str">
        <x:v>Replace one standard camera with a wider 180-degree view.</x:v>
      </x:c>
      <x:c r="D24" s="16" t="str">
        <x:v>E-06</x:v>
      </x:c>
      <x:c r="E24" s="16" t="str">
        <x:v>Replacement of one standard camera at original installation</x:v>
      </x:c>
      <x:c r="F24" s="20" t="str">
        <x:v>CAM-180 replaces CAM-8MP</x:v>
      </x:c>
      <x:c r="G24" s="16" t="str">
        <x:v>Incremental camera upgrade</x:v>
      </x:c>
      <x:c r="H24" s="28" t="n">
        <x:v>99</x:v>
      </x:c>
      <x:c r="I24" s="16" t="str">
        <x:v>Frozen</x:v>
      </x:c>
      <x:c r="J24" s="16" t="str">
        <x:v>Original installation only</x:v>
      </x:c>
    </x:row>
    <x:row r="25" ht="16.799999237060547" hidden="0" customHeight="1">
      <x:c r="A25" s="16" t="str">
        <x:v>AO-024</x:v>
      </x:c>
      <x:c r="B25" s="16" t="str">
        <x:v>Additional 3TB Surveillance Storage</x:v>
      </x:c>
      <x:c r="C25" s="16" t="str">
        <x:v>Keep more recorded history before older footage is overwritten.</x:v>
      </x:c>
      <x:c r="D25" s="16" t="str">
        <x:v>E-06</x:v>
      </x:c>
      <x:c r="E25" s="16" t="str">
        <x:v>One additional 3TB surveillance hard drive</x:v>
      </x:c>
      <x:c r="F25" s="20" t="str">
        <x:v>HDD-3TB</x:v>
      </x:c>
      <x:c r="G25" s="16" t="str">
        <x:v>Drive + install/configuration</x:v>
      </x:c>
      <x:c r="H25" s="28" t="n">
        <x:v>599</x:v>
      </x:c>
      <x:c r="I25" s="16" t="str">
        <x:v>Frozen</x:v>
      </x:c>
      <x:c r="J25" s="16" t="str">
        <x:v>Total standard plus Add-on capacity: 7TB</x:v>
      </x:c>
    </x:row>
    <x:row r="26" ht="16.799999237060547" hidden="0" customHeight="1">
      <x:c r="A26" s="16" t="str">
        <x:v>AO-025</x:v>
      </x:c>
      <x:c r="B26" s="16" t="str">
        <x:v>Additional 6TB Surveillance Storage</x:v>
      </x:c>
      <x:c r="C26" s="16" t="str">
        <x:v>Keep substantially more recorded history on site.</x:v>
      </x:c>
      <x:c r="D26" s="16" t="str">
        <x:v>E-06</x:v>
      </x:c>
      <x:c r="E26" s="16" t="str">
        <x:v>One additional 6TB surveillance hard drive</x:v>
      </x:c>
      <x:c r="F26" s="20" t="str">
        <x:v>HDD-6TB</x:v>
      </x:c>
      <x:c r="G26" s="16" t="str">
        <x:v>Drive + install/configuration</x:v>
      </x:c>
      <x:c r="H26" s="28" t="n">
        <x:v>899</x:v>
      </x:c>
      <x:c r="I26" s="16" t="str">
        <x:v>Frozen</x:v>
      </x:c>
      <x:c r="J26" s="16" t="str">
        <x:v>Total standard plus Add-on capacity: 10TB</x:v>
      </x:c>
    </x:row>
    <x:row r="27" ht="26.399999618530273" hidden="0" customHeight="1">
      <x:c r="A27" s="16" t="str">
        <x:v>AO-026</x:v>
      </x:c>
      <x:c r="B27" s="16" t="str">
        <x:v>13-Inch Screen Replacement Upgrade</x:v>
      </x:c>
      <x:c r="C27" s="16" t="str">
        <x:v>Give the home’s central control a larger, more architectural presence.</x:v>
      </x:c>
      <x:c r="D27" s="16" t="str">
        <x:v>F-01</x:v>
      </x:c>
      <x:c r="E27" s="16" t="str">
        <x:v>Replace the standard 10-inch screen with one 13-inch screen</x:v>
      </x:c>
      <x:c r="F27" s="20" t="str">
        <x:v>SCREEN-13 replaces SCREEN-10</x:v>
      </x:c>
      <x:c r="G27" s="16" t="str">
        <x:v>Incremental screen upgrade</x:v>
      </x:c>
      <x:c r="H27" s="28" t="n">
        <x:v>799</x:v>
      </x:c>
      <x:c r="I27" s="16" t="str">
        <x:v>Frozen</x:v>
      </x:c>
      <x:c r="J27" s="16" t="str">
        <x:v>Original Foundation installation only</x:v>
      </x:c>
    </x:row>
    <x:row r="28" ht="16.799999237060547" hidden="0" customHeight="1">
      <x:c r="A28" s="16" t="str">
        <x:v>AO-027</x:v>
      </x:c>
      <x:c r="B28" s="16" t="str">
        <x:v>Additional 10-Inch Control Screen</x:v>
      </x:c>
      <x:c r="C28" s="16" t="str">
        <x:v>Bring the same home control to another chosen location.</x:v>
      </x:c>
      <x:c r="D28" s="16" t="str">
        <x:v>F-01</x:v>
      </x:c>
      <x:c r="E28" s="16" t="str">
        <x:v>One additional 10-inch control screen</x:v>
      </x:c>
      <x:c r="F28" s="20" t="str">
        <x:v>SCREEN-10</x:v>
      </x:c>
      <x:c r="G28" s="16" t="str">
        <x:v>Screen + installation/configuration</x:v>
      </x:c>
      <x:c r="H28" s="28" t="n">
        <x:v>1499</x:v>
      </x:c>
      <x:c r="I28" s="16" t="str">
        <x:v>Frozen</x:v>
      </x:c>
      <x:c r="J28" s="16" t="str">
        <x:v>Suitable power, network and mounting required</x:v>
      </x:c>
    </x:row>
    <x:row r="29" ht="16.799999237060547" hidden="0" customHeight="1">
      <x:c r="A29" s="16" t="str">
        <x:v>AO-028</x:v>
      </x:c>
      <x:c r="B29" s="16" t="str">
        <x:v>Additional 13-Inch Control Screen</x:v>
      </x:c>
      <x:c r="C29" s="16" t="str">
        <x:v>Bring a larger home-control point to another chosen location.</x:v>
      </x:c>
      <x:c r="D29" s="16" t="str">
        <x:v>F-01</x:v>
      </x:c>
      <x:c r="E29" s="16" t="str">
        <x:v>One additional 13-inch control screen</x:v>
      </x:c>
      <x:c r="F29" s="20" t="str">
        <x:v>SCREEN-13</x:v>
      </x:c>
      <x:c r="G29" s="16" t="str">
        <x:v>Screen + installation/configuration</x:v>
      </x:c>
      <x:c r="H29" s="28" t="n">
        <x:v>1999</x:v>
      </x:c>
      <x:c r="I29" s="16" t="str">
        <x:v>Frozen</x:v>
      </x:c>
      <x:c r="J29" s="16" t="str">
        <x:v>Suitable power, network and mounting required</x:v>
      </x:c>
    </x:row>
    <x:row r="30" ht="26.399999618530273" hidden="0" customHeight="1">
      <x:c r="A30" s="16" t="str">
        <x:v>AO-029</x:v>
      </x:c>
      <x:c r="B30" s="16" t="str">
        <x:v>Additional 16-Port PoE Switch</x:v>
      </x:c>
      <x:c r="C30" s="16" t="str">
        <x:v>Create more wired capacity for the Better Home system to grow.</x:v>
      </x:c>
      <x:c r="D30" s="16" t="str">
        <x:v>F-01</x:v>
      </x:c>
      <x:c r="E30" s="16" t="str">
        <x:v>One additional 16-port PoE network switch</x:v>
      </x:c>
      <x:c r="F30" s="20" t="str">
        <x:v>POE-SWITCH</x:v>
      </x:c>
      <x:c r="G30" s="16" t="str">
        <x:v>Device + installation/configuration</x:v>
      </x:c>
      <x:c r="H30" s="28" t="n">
        <x:v>499</x:v>
      </x:c>
      <x:c r="I30" s="16" t="str">
        <x:v>Frozen</x:v>
      </x:c>
      <x:c r="J30" s="16" t="str">
        <x:v>Complex second cabinet quoted</x:v>
      </x:c>
    </x:row>
    <x:row r="31" ht="26.399999618530273" hidden="0" customHeight="1">
      <x:c r="A31" s="16" t="str">
        <x:v>AO-030</x:v>
      </x:c>
      <x:c r="B31" s="16" t="str">
        <x:v>Additional Wireless Device Gateway</x:v>
      </x:c>
      <x:c r="C31" s="16" t="str">
        <x:v>Extend wireless-device coverage or capacity where the home requires it.</x:v>
      </x:c>
      <x:c r="D31" s="16" t="str">
        <x:v>F-01</x:v>
      </x:c>
      <x:c r="E31" s="16" t="str">
        <x:v>One additional Better Home-compatible Zigbee gateway</x:v>
      </x:c>
      <x:c r="F31" s="20" t="str">
        <x:v>ZB-GATEWAY</x:v>
      </x:c>
      <x:c r="G31" s="16" t="str">
        <x:v>Device + installation/configuration</x:v>
      </x:c>
      <x:c r="H31" s="28" t="n">
        <x:v>599</x:v>
      </x:c>
      <x:c r="I31" s="16" t="str">
        <x:v>Frozen</x:v>
      </x:c>
      <x:c r="J31" s="16" t="str">
        <x:v>Coverage and capacity expansion only</x:v>
      </x:c>
    </x:row>
    <x:row r="32" ht="16.799999237060547" hidden="0" customHeight="1">
      <x:c r="A32" s="16" t="str">
        <x:v>AO-031</x:v>
      </x:c>
      <x:c r="B32" s="16" t="str">
        <x:v>Additional Better Home BUS Interface</x:v>
      </x:c>
      <x:c r="C32" s="16" t="str">
        <x:v>Connect another compatible Better Home control network.</x:v>
      </x:c>
      <x:c r="D32" s="16" t="str">
        <x:v>F-01</x:v>
      </x:c>
      <x:c r="E32" s="16" t="str">
        <x:v>One additional RS485 / BUS communication interface</x:v>
      </x:c>
      <x:c r="F32" s="20" t="str">
        <x:v>485-MODULE</x:v>
      </x:c>
      <x:c r="G32" s="16" t="str">
        <x:v>Device + installation/configuration</x:v>
      </x:c>
      <x:c r="H32" s="28" t="n">
        <x:v>599</x:v>
      </x:c>
      <x:c r="I32" s="16" t="str">
        <x:v>Frozen</x:v>
      </x:c>
      <x:c r="J32" s="16" t="str">
        <x:v>Separate building or complex topology quoted</x:v>
      </x:c>
    </x:row>
    <x:row r="33" ht="26.399999618530273" hidden="0" customHeight="1">
      <x:c r="A33" s="16" t="str">
        <x:v>AO-032</x:v>
      </x:c>
      <x:c r="B33" s="16" t="str">
        <x:v>Additional Smart Colour Bulb</x:v>
      </x:c>
      <x:c r="C33" s="16" t="str">
        <x:v>Bring the chosen colour scene to another lamp.</x:v>
      </x:c>
      <x:c r="D33" s="16" t="str">
        <x:v>E-01</x:v>
      </x:c>
      <x:c r="E33" s="16" t="str">
        <x:v>One compatible colour bulb with pairing and scene programming</x:v>
      </x:c>
      <x:c r="F33" s="20" t="str">
        <x:v>COLOR-BULB</x:v>
      </x:c>
      <x:c r="G33" s="16" t="str">
        <x:v>Device + pairing/programming</x:v>
      </x:c>
      <x:c r="H33" s="28" t="n">
        <x:v>99</x:v>
      </x:c>
      <x:c r="I33" s="16" t="str">
        <x:v>Frozen</x:v>
      </x:c>
      <x:c r="J33" s="16" t="str">
        <x:v>Mood Lighting only</x:v>
      </x:c>
    </x:row>
  </x:sheetData>
  <x:pageMargins left="0.7" right="0.7" top="0.75" bottom="0.75" header="0.3" footer="0.3"/>
  <x:tableParts count="1">
    <x:tablePart xmlns:r="http://schemas.openxmlformats.org/officeDocument/2006/relationships" r:id="R3a0e47896054461b"/>
  </x:tableParts>
</x:worksheet>
</file>

<file path=xl/worksheets/sheet13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22" customWidth="1"/>
    <x:col min="3" max="3" width="12" customWidth="1"/>
    <x:col min="4" max="4" width="72" customWidth="1"/>
    <x:col min="6" max="6" width="38" customWidth="1"/>
  </x:cols>
  <x:sheetData>
    <x:row r="1" ht="22" customHeight="1">
      <x:c r="A1" s="5" t="s">
        <x:v>22</x:v>
      </x:c>
      <x:c r="B1" s="5" t="s">
        <x:v>23</x:v>
      </x:c>
      <x:c r="C1" s="5" t="s">
        <x:v>24</x:v>
      </x:c>
      <x:c r="D1" s="5" t="s">
        <x:v>25</x:v>
      </x:c>
      <x:c r="F1" t="s">
        <x:v>26</x:v>
      </x:c>
    </x:row>
    <x:row r="2" ht="17">
      <x:c r="A2" s="4" t="s">
        <x:v>27</x:v>
      </x:c>
      <x:c r="B2" s="4" t="s">
        <x:v>28</x:v>
      </x:c>
      <x:c r="C2" s="4">
        <x:v>1</x:v>
      </x:c>
      <x:c r="D2" s="4" t="s">
        <x:v>29</x:v>
      </x:c>
      <x:c r="F2" t="s">
        <x:v>30</x:v>
      </x:c>
    </x:row>
    <x:row r="3" ht="17">
      <x:c r="A3" s="4" t="s">
        <x:v>27</x:v>
      </x:c>
      <x:c r="B3" s="4" t="s">
        <x:v>28</x:v>
      </x:c>
      <x:c r="C3" s="4">
        <x:v>2</x:v>
      </x:c>
      <x:c r="D3" s="4" t="s">
        <x:v>31</x:v>
      </x:c>
    </x:row>
    <x:row r="4" ht="17">
      <x:c r="A4" s="4" t="s">
        <x:v>27</x:v>
      </x:c>
      <x:c r="B4" s="4" t="s">
        <x:v>28</x:v>
      </x:c>
      <x:c r="C4" s="4">
        <x:v>3</x:v>
      </x:c>
      <x:c r="D4" s="4" t="s">
        <x:v>32</x:v>
      </x:c>
    </x:row>
    <x:row r="5" ht="17">
      <x:c r="A5" s="4" t="s">
        <x:v>27</x:v>
      </x:c>
      <x:c r="B5" s="4" t="s">
        <x:v>28</x:v>
      </x:c>
      <x:c r="C5" s="4">
        <x:v>4</x:v>
      </x:c>
      <x:c r="D5" s="4" t="s">
        <x:v>33</x:v>
      </x:c>
    </x:row>
    <x:row r="6" ht="17">
      <x:c r="A6" s="4" t="s">
        <x:v>27</x:v>
      </x:c>
      <x:c r="B6" s="4" t="s">
        <x:v>34</x:v>
      </x:c>
      <x:c r="C6" s="4">
        <x:v>1</x:v>
      </x:c>
      <x:c r="D6" s="4" t="s">
        <x:v>35</x:v>
      </x:c>
    </x:row>
    <x:row r="7" ht="17">
      <x:c r="A7" s="4" t="s">
        <x:v>27</x:v>
      </x:c>
      <x:c r="B7" s="4" t="s">
        <x:v>36</x:v>
      </x:c>
      <x:c r="C7" s="4">
        <x:v>1</x:v>
      </x:c>
      <x:c r="D7" s="4" t="s">
        <x:v>37</x:v>
      </x:c>
    </x:row>
    <x:row r="8">
      <x:c r="A8" t="s">
        <x:v>38</x:v>
      </x:c>
      <x:c r="B8" t="s">
        <x:v>28</x:v>
      </x:c>
      <x:c r="C8">
        <x:v>1</x:v>
      </x:c>
      <x:c r="D8" t="s">
        <x:v>39</x:v>
      </x:c>
    </x:row>
    <x:row r="9">
      <x:c r="A9" t="s">
        <x:v>38</x:v>
      </x:c>
      <x:c r="B9" t="s">
        <x:v>28</x:v>
      </x:c>
      <x:c r="C9">
        <x:v>2</x:v>
      </x:c>
      <x:c r="D9" t="s">
        <x:v>40</x:v>
      </x:c>
    </x:row>
    <x:row r="10">
      <x:c r="A10" t="s">
        <x:v>38</x:v>
      </x:c>
      <x:c r="B10" t="s">
        <x:v>28</x:v>
      </x:c>
      <x:c r="C10">
        <x:v>3</x:v>
      </x:c>
      <x:c r="D10" t="s">
        <x:v>41</x:v>
      </x:c>
    </x:row>
    <x:row r="11">
      <x:c r="A11" t="s">
        <x:v>38</x:v>
      </x:c>
      <x:c r="B11" t="s">
        <x:v>28</x:v>
      </x:c>
      <x:c r="C11">
        <x:v>4</x:v>
      </x:c>
      <x:c r="D11" t="s">
        <x:v>42</x:v>
      </x:c>
    </x:row>
    <x:row r="12">
      <x:c r="A12" t="s">
        <x:v>38</x:v>
      </x:c>
      <x:c r="B12" t="s">
        <x:v>34</x:v>
      </x:c>
      <x:c r="C12">
        <x:v>1</x:v>
      </x:c>
      <x:c r="D12" t="s">
        <x:v>43</x:v>
      </x:c>
    </x:row>
    <x:row r="13">
      <x:c r="A13" t="s">
        <x:v>38</x:v>
      </x:c>
      <x:c r="B13" t="s">
        <x:v>36</x:v>
      </x:c>
      <x:c r="C13">
        <x:v>1</x:v>
      </x:c>
      <x:c r="D13" t="s">
        <x:v>37</x:v>
      </x:c>
    </x:row>
    <x:row r="14">
      <x:c r="A14" t="s">
        <x:v>44</x:v>
      </x:c>
      <x:c r="B14" t="s">
        <x:v>28</x:v>
      </x:c>
      <x:c r="C14">
        <x:v>1</x:v>
      </x:c>
      <x:c r="D14" t="s">
        <x:v>45</x:v>
      </x:c>
    </x:row>
    <x:row r="15">
      <x:c r="A15" t="s">
        <x:v>44</x:v>
      </x:c>
      <x:c r="B15" t="s">
        <x:v>28</x:v>
      </x:c>
      <x:c r="C15">
        <x:v>2</x:v>
      </x:c>
      <x:c r="D15" t="s">
        <x:v>46</x:v>
      </x:c>
    </x:row>
    <x:row r="16">
      <x:c r="A16" t="s">
        <x:v>44</x:v>
      </x:c>
      <x:c r="B16" t="s">
        <x:v>28</x:v>
      </x:c>
      <x:c r="C16">
        <x:v>3</x:v>
      </x:c>
      <x:c r="D16" t="s">
        <x:v>47</x:v>
      </x:c>
    </x:row>
    <x:row r="17">
      <x:c r="A17" t="s">
        <x:v>44</x:v>
      </x:c>
      <x:c r="B17" t="s">
        <x:v>28</x:v>
      </x:c>
      <x:c r="C17">
        <x:v>4</x:v>
      </x:c>
      <x:c r="D17" t="s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cd84d04013ca4d8c"/>
  </x:tableParts>
</x:worksheet>
</file>

<file path=xl/worksheets/sheet14.xml><?xml version="1.0" encoding="utf-8"?>
<x:worksheet xmlns:x="http://schemas.openxmlformats.org/spreadsheetml/2006/main">
  <x:sheetFormatPr defaultColWidth="9" defaultRowHeight="16.799999237060547"/>
  <x:cols>
    <x:col min="1" max="1" width="18" customWidth="1"/>
    <x:col min="2" max="2" width="36" customWidth="1"/>
    <x:col min="3" max="3" width="18" customWidth="1"/>
    <x:col min="4" max="4" width="70" customWidth="1"/>
  </x:cols>
  <x:sheetData>
    <x:row r="1" ht="16.799999237060547" hidden="0" customHeight="1">
      <x:c r="A1" s="23" t="str">
        <x:v>Phase</x:v>
      </x:c>
      <x:c r="B1" s="23" t="str">
        <x:v>Focus</x:v>
      </x:c>
      <x:c r="C1" s="23" t="str">
        <x:v>Status</x:v>
      </x:c>
      <x:c r="D1" s="23" t="str">
        <x:v>Notes</x:v>
      </x:c>
    </x:row>
    <x:row r="2" ht="16.799999237060547" hidden="0" customHeight="1">
      <x:c r="A2" s="16" t="str">
        <x:v>V2.06</x:v>
      </x:c>
      <x:c r="B2" s="16" t="str">
        <x:v>Product OS freeze</x:v>
      </x:c>
      <x:c r="C2" s="16" t="str">
        <x:v>Complete</x:v>
      </x:c>
      <x:c r="D2" s="16" t="str">
        <x:v>Products, scope, BOM, pricing, dependencies and Add-ons reconciled</x:v>
      </x:c>
    </x:row>
    <x:row r="3" ht="16.799999237060547" hidden="0" customHeight="1">
      <x:c r="A3" s="16" t="str">
        <x:v>A4 V1</x:v>
      </x:c>
      <x:c r="B3" s="16" t="str">
        <x:v>15 A4 sales sheets</x:v>
      </x:c>
      <x:c r="C3" s="16" t="str">
        <x:v>Next</x:v>
      </x:c>
      <x:c r="D3" s="16" t="str">
        <x:v>Welcome + Foundation + six Collections + six specialist/standalone products + Add-on Guide</x:v>
      </x:c>
    </x:row>
    <x:row r="4" ht="16.799999237060547" hidden="0" customHeight="1">
      <x:c r="A4" s="16" t="str">
        <x:v>Configurator V1</x:v>
      </x:c>
      <x:c r="B4" s="16" t="str">
        <x:v>Room, Experience and Add-on selection</x:v>
      </x:c>
      <x:c r="C4" s="16" t="str">
        <x:v>Planned</x:v>
      </x:c>
      <x:c r="D4" s="16" t="str">
        <x:v>Consume Product OS IDs and prices</x:v>
      </x:c>
    </x:row>
    <x:row r="5" ht="16.799999237060547" hidden="0" customHeight="1">
      <x:c r="A5" s="16" t="str">
        <x:v>Proposal V1</x:v>
      </x:c>
      <x:c r="B5" s="16" t="str">
        <x:v>Formal customer scope and price</x:v>
      </x:c>
      <x:c r="C5" s="16" t="str">
        <x:v>Planned</x:v>
      </x:c>
      <x:c r="D5" s="16" t="str">
        <x:v>Show quantities, assumptions and exceptions</x:v>
      </x:c>
    </x:row>
    <x:row r="6" ht="16.799999237060547" hidden="0" customHeight="1">
      <x:c r="A6" s="16" t="str">
        <x:v>Pilot Review</x:v>
      </x:c>
      <x:c r="B6" s="16" t="str">
        <x:v>Healthy Air / CCTV integration</x:v>
      </x:c>
      <x:c r="C6" s="16" t="str">
        <x:v>Required</x:v>
      </x:c>
      <x:c r="D6" s="16" t="str">
        <x:v>Validate real labour, event output and first-install assumptions</x:v>
      </x:c>
    </x:row>
    <x:row r="7" ht="16.799999237060547" hidden="0" customHeight="1">
      <x:c r="A7" s="16" t="str">
        <x:v>Database V3</x:v>
      </x:c>
      <x:c r="B7" s="16" t="str">
        <x:v>Neon/PostgreSQL migration</x:v>
      </x:c>
      <x:c r="C7" s="16" t="str">
        <x:v>Later</x:v>
      </x:c>
      <x:c r="D7" s="16" t="str">
        <x:v>Only after A4 and Configurator field model stabilises</x:v>
      </x:c>
    </x:row>
  </x:sheetData>
  <x:pageMargins left="0.7" right="0.7" top="0.75" bottom="0.75" header="0.3" footer="0.3"/>
  <x:tableParts count="1">
    <x:tablePart xmlns:r="http://schemas.openxmlformats.org/officeDocument/2006/relationships" r:id="Ra0fa420841a6417f"/>
  </x:tableParts>
</x:worksheet>
</file>

<file path=xl/worksheets/sheet15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8" customWidth="1"/>
    <x:col min="3" max="3" width="24" customWidth="1"/>
    <x:col min="4" max="4" width="10" customWidth="1"/>
    <x:col min="5" max="5" width="42" customWidth="1"/>
    <x:col min="6" max="6" width="82" customWidth="1"/>
    <x:col min="7" max="7" width="14" customWidth="1"/>
    <x:col min="8" max="8" width="34" customWidth="1"/>
  </x:cols>
  <x:sheetData>
    <x:row r="1" ht="16.799999237060547" hidden="0" customHeight="1">
      <x:c r="A1" s="17" t="str">
        <x:v>Product ID</x:v>
      </x:c>
      <x:c r="B1" s="17" t="str">
        <x:v>Content Type</x:v>
      </x:c>
      <x:c r="C1" s="17" t="str">
        <x:v>Content Key</x:v>
      </x:c>
      <x:c r="D1" s="17" t="str">
        <x:v>Sequence</x:v>
      </x:c>
      <x:c r="E1" s="17" t="str">
        <x:v>Title</x:v>
      </x:c>
      <x:c r="F1" s="17" t="str">
        <x:v>Body</x:v>
      </x:c>
      <x:c r="G1" s="17" t="str">
        <x:v>Status</x:v>
      </x:c>
      <x:c r="H1" s="17" t="str">
        <x:v>Notes</x:v>
      </x:c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Hero</x:v>
      </x:c>
      <x:c r="C2" s="16" t="str">
        <x:v>hero</x:v>
      </x:c>
      <x:c r="D2" s="16" t="n">
        <x:v>1</x:v>
      </x:c>
      <x:c r="E2" s="16" t="str">
        <x:v>Everything begins here.</x:v>
      </x:c>
      <x:c r="F2" s="16" t="str"/>
      <x:c r="G2" s="16" t="str">
        <x:v>Frozen</x:v>
      </x:c>
      <x:c r="H2" s="16" t="str">
        <x:v>Foundation</x:v>
      </x:c>
    </x:row>
    <x:row r="3" ht="26.399999618530273" hidden="0" customHeight="1">
      <x:c r="A3" s="16" t="str">
        <x:v>F-01</x:v>
      </x:c>
      <x:c r="B3" s="16" t="str">
        <x:v>Subtitle</x:v>
      </x:c>
      <x:c r="C3" s="16" t="str">
        <x:v>subtitle</x:v>
      </x:c>
      <x:c r="D3" s="16" t="n">
        <x:v>1</x:v>
      </x:c>
      <x:c r="E3" s="16" t="str">
        <x:v>The intelligent foundation that powers every Better Home experience.</x:v>
      </x:c>
      <x:c r="F3" s="16" t="str"/>
      <x:c r="G3" s="16" t="str">
        <x:v>Frozen</x:v>
      </x:c>
      <x:c r="H3" s="16" t="str">
        <x:v>One Better Home project</x:v>
      </x:c>
    </x:row>
    <x:row r="4" ht="16.799999237060547" hidden="0" customHeight="1">
      <x:c r="A4" s="16" t="str">
        <x:v>F-01</x:v>
      </x:c>
      <x:c r="B4" s="16" t="str">
        <x:v>Story</x:v>
      </x:c>
      <x:c r="C4" s="16" t="str">
        <x:v>story</x:v>
      </x:c>
      <x:c r="D4" s="16" t="n">
        <x:v>1</x:v>
      </x:c>
      <x:c r="E4" s="16" t="str">
        <x:v>Foundation</x:v>
      </x:c>
      <x:c r="F4" s="16" t="str">
        <x:v>Foundation is the quiet core that connects screens, networks, devices and automation logic.</x:v>
      </x:c>
      <x:c r="G4" s="16" t="str">
        <x:v>Frozen</x:v>
      </x:c>
      <x:c r="H4" s="16" t="str">
        <x:v>V2.06 product story</x:v>
      </x:c>
    </x:row>
    <x:row r="5" ht="16.799999237060547" hidden="0" customHeight="1">
      <x:c r="A5" s="16" t="str">
        <x:v>F-01</x:v>
      </x:c>
      <x:c r="B5" s="16" t="str">
        <x:v>Footer</x:v>
      </x:c>
      <x:c r="C5" s="16" t="str">
        <x:v>footer</x:v>
      </x:c>
      <x:c r="D5" s="16" t="n">
        <x:v>1</x:v>
      </x:c>
      <x:c r="E5" s="16" t="str">
        <x:v>Part of the Better Home Residential Operating System</x:v>
      </x:c>
      <x:c r="F5" s="16" t="str"/>
      <x:c r="G5" s="16" t="str">
        <x:v>Frozen</x:v>
      </x:c>
      <x:c r="H5" s="16" t="str"/>
    </x:row>
    <x:row r="6" ht="16.799999237060547" hidden="0" customHeight="1">
      <x:c r="A6" s="16" t="str">
        <x:v>C-01</x:v>
      </x:c>
      <x:c r="B6" s="16" t="str">
        <x:v>Hero</x:v>
      </x:c>
      <x:c r="C6" s="16" t="str">
        <x:v>hero</x:v>
      </x:c>
      <x:c r="D6" s="16" t="n">
        <x:v>1</x:v>
      </x:c>
      <x:c r="E6" s="16" t="str">
        <x:v>Some welcomes don't need words.</x:v>
      </x:c>
      <x:c r="F6" s="16" t="str"/>
      <x:c r="G6" s="16" t="str">
        <x:v>Frozen</x:v>
      </x:c>
      <x:c r="H6" s="16" t="str">
        <x:v>Entry Collection</x:v>
      </x:c>
    </x:row>
    <x:row r="7" ht="16.799999237060547" hidden="0" customHeight="1">
      <x:c r="A7" s="16" t="str">
        <x:v>C-01</x:v>
      </x:c>
      <x:c r="B7" s="16" t="str">
        <x:v>Subtitle</x:v>
      </x:c>
      <x:c r="C7" s="16" t="str">
        <x:v>subtitle</x:v>
      </x:c>
      <x:c r="D7" s="16" t="n">
        <x:v>1</x:v>
      </x:c>
      <x:c r="E7" s="16" t="str">
        <x:v>Before you step inside, home is already waiting.</x:v>
      </x:c>
      <x:c r="F7" s="16" t="str"/>
      <x:c r="G7" s="16" t="str">
        <x:v>Frozen</x:v>
      </x:c>
      <x:c r="H7" s="16" t="str">
        <x:v>One primary entry</x:v>
      </x:c>
    </x:row>
    <x:row r="8" ht="26.399999618530273" hidden="0" customHeight="1">
      <x:c r="A8" s="16" t="str">
        <x:v>C-01</x:v>
      </x:c>
      <x:c r="B8" s="16" t="str">
        <x:v>Story</x:v>
      </x:c>
      <x:c r="C8" s="16" t="str">
        <x:v>story</x:v>
      </x:c>
      <x:c r="D8" s="16" t="n">
        <x:v>1</x:v>
      </x:c>
      <x:c r="E8" s="16" t="str">
        <x:v>Entry Collection</x:v>
      </x:c>
      <x:c r="F8" s="16" t="str">
        <x:v>Arrival begins outside. Entry brings together light, access and communication without pretending every device is deeply integrated.</x:v>
      </x:c>
      <x:c r="G8" s="16" t="str">
        <x:v>Frozen</x:v>
      </x:c>
      <x:c r="H8" s="16" t="str">
        <x:v>V2.06 product story</x:v>
      </x:c>
    </x:row>
    <x:row r="9" ht="16.799999237060547" hidden="0" customHeight="1">
      <x:c r="A9" s="16" t="str">
        <x:v>C-01</x:v>
      </x:c>
      <x:c r="B9" s="16" t="str">
        <x:v>Footer</x:v>
      </x:c>
      <x:c r="C9" s="16" t="str">
        <x:v>footer</x:v>
      </x:c>
      <x:c r="D9" s="16" t="n">
        <x:v>1</x:v>
      </x:c>
      <x:c r="E9" s="16" t="str">
        <x:v>Part of the Better Home Residential Operating System</x:v>
      </x:c>
      <x:c r="F9" s="16" t="str"/>
      <x:c r="G9" s="16" t="str">
        <x:v>Frozen</x:v>
      </x:c>
      <x:c r="H9" s="16" t="str"/>
    </x:row>
    <x:row r="10" ht="16.799999237060547" hidden="0" customHeight="1">
      <x:c r="A10" s="16" t="str">
        <x:v>C-02</x:v>
      </x:c>
      <x:c r="B10" s="16" t="str">
        <x:v>Hero</x:v>
      </x:c>
      <x:c r="C10" s="16" t="str">
        <x:v>hero</x:v>
      </x:c>
      <x:c r="D10" s="16" t="n">
        <x:v>1</x:v>
      </x:c>
      <x:c r="E10" s="16" t="str">
        <x:v>One space. Many ways to live.</x:v>
      </x:c>
      <x:c r="F10" s="16" t="str"/>
      <x:c r="G10" s="16" t="str">
        <x:v>Frozen</x:v>
      </x:c>
      <x:c r="H10" s="16" t="str">
        <x:v>Living Collection</x:v>
      </x:c>
    </x:row>
    <x:row r="11" ht="16.799999237060547" hidden="0" customHeight="1">
      <x:c r="A11" s="16" t="str">
        <x:v>C-02</x:v>
      </x:c>
      <x:c r="B11" s="16" t="str">
        <x:v>Subtitle</x:v>
      </x:c>
      <x:c r="C11" s="16" t="str">
        <x:v>subtitle</x:v>
      </x:c>
      <x:c r="D11" s="16" t="n">
        <x:v>1</x:v>
      </x:c>
      <x:c r="E11" s="16" t="str">
        <x:v>The atmosphere follows your life.</x:v>
      </x:c>
      <x:c r="F11" s="16" t="str"/>
      <x:c r="G11" s="16" t="str">
        <x:v>Frozen</x:v>
      </x:c>
      <x:c r="H11" s="16" t="str">
        <x:v>One living room / connected open plan</x:v>
      </x:c>
    </x:row>
    <x:row r="12" ht="26.399999618530273" hidden="0" customHeight="1">
      <x:c r="A12" s="16" t="str">
        <x:v>C-02</x:v>
      </x:c>
      <x:c r="B12" s="16" t="str">
        <x:v>Story</x:v>
      </x:c>
      <x:c r="C12" s="16" t="str">
        <x:v>story</x:v>
      </x:c>
      <x:c r="D12" s="16" t="n">
        <x:v>1</x:v>
      </x:c>
      <x:c r="E12" s="16" t="str">
        <x:v>Living Collection</x:v>
      </x:c>
      <x:c r="F12" s="16" t="str">
        <x:v>Living adapts light, curtain, simple split-system comfort and atmosphere around the way the room is actually used.</x:v>
      </x:c>
      <x:c r="G12" s="16" t="str">
        <x:v>Frozen</x:v>
      </x:c>
      <x:c r="H12" s="16" t="str">
        <x:v>V2.06 product story</x:v>
      </x:c>
    </x:row>
    <x:row r="13" ht="16.799999237060547" hidden="0" customHeight="1">
      <x:c r="A13" s="16" t="str">
        <x:v>C-02</x:v>
      </x:c>
      <x:c r="B13" s="16" t="str">
        <x:v>Footer</x:v>
      </x:c>
      <x:c r="C13" s="16" t="str">
        <x:v>footer</x:v>
      </x:c>
      <x:c r="D13" s="16" t="n">
        <x:v>1</x:v>
      </x:c>
      <x:c r="E13" s="16" t="str">
        <x:v>Part of the Better Home Residential Operating System</x:v>
      </x:c>
      <x:c r="F13" s="16" t="str"/>
      <x:c r="G13" s="16" t="str">
        <x:v>Frozen</x:v>
      </x:c>
      <x:c r="H13" s="16" t="str"/>
    </x:row>
    <x:row r="14" ht="16.799999237060547" hidden="0" customHeight="1">
      <x:c r="A14" s="16" t="str">
        <x:v>C-03</x:v>
      </x:c>
      <x:c r="B14" s="16" t="str">
        <x:v>Hero</x:v>
      </x:c>
      <x:c r="C14" s="16" t="str">
        <x:v>hero</x:v>
      </x:c>
      <x:c r="D14" s="16" t="n">
        <x:v>1</x:v>
      </x:c>
      <x:c r="E14" s="16" t="str">
        <x:v>The day begins quietly.</x:v>
      </x:c>
      <x:c r="F14" s="16" t="str"/>
      <x:c r="G14" s="16" t="str">
        <x:v>Frozen</x:v>
      </x:c>
      <x:c r="H14" s="16" t="str">
        <x:v>Kitchen Collection</x:v>
      </x:c>
    </x:row>
    <x:row r="15" ht="16.799999237060547" hidden="0" customHeight="1">
      <x:c r="A15" s="16" t="str">
        <x:v>C-03</x:v>
      </x:c>
      <x:c r="B15" s="16" t="str">
        <x:v>Subtitle</x:v>
      </x:c>
      <x:c r="C15" s="16" t="str">
        <x:v>subtitle</x:v>
      </x:c>
      <x:c r="D15" s="16" t="n">
        <x:v>1</x:v>
      </x:c>
      <x:c r="E15" s="16" t="str">
        <x:v>Light where you need it. Calm when you don't.</x:v>
      </x:c>
      <x:c r="F15" s="16" t="str"/>
      <x:c r="G15" s="16" t="str">
        <x:v>Frozen</x:v>
      </x:c>
      <x:c r="H15" s="16" t="str">
        <x:v>One kitchen / connected pantry</x:v>
      </x:c>
    </x:row>
    <x:row r="16" ht="26.399999618530273" hidden="0" customHeight="1">
      <x:c r="A16" s="16" t="str">
        <x:v>C-03</x:v>
      </x:c>
      <x:c r="B16" s="16" t="str">
        <x:v>Story</x:v>
      </x:c>
      <x:c r="C16" s="16" t="str">
        <x:v>story</x:v>
      </x:c>
      <x:c r="D16" s="16" t="n">
        <x:v>1</x:v>
      </x:c>
      <x:c r="E16" s="16" t="str">
        <x:v>Kitchen Collection</x:v>
      </x:c>
      <x:c r="F16" s="16" t="str">
        <x:v>Kitchen supports preparation, low-level night light and useful information without turning cooking into a technology demonstration.</x:v>
      </x:c>
      <x:c r="G16" s="16" t="str">
        <x:v>Frozen</x:v>
      </x:c>
      <x:c r="H16" s="16" t="str">
        <x:v>V2.06 product story</x:v>
      </x:c>
    </x:row>
    <x:row r="17" ht="16.799999237060547" hidden="0" customHeight="1">
      <x:c r="A17" s="16" t="str">
        <x:v>C-03</x:v>
      </x:c>
      <x:c r="B17" s="16" t="str">
        <x:v>Footer</x:v>
      </x:c>
      <x:c r="C17" s="16" t="str">
        <x:v>footer</x:v>
      </x:c>
      <x:c r="D17" s="16" t="n">
        <x:v>1</x:v>
      </x:c>
      <x:c r="E17" s="16" t="str">
        <x:v>Part of the Better Home Residential Operating System</x:v>
      </x:c>
      <x:c r="F17" s="16" t="str"/>
      <x:c r="G17" s="16" t="str">
        <x:v>Frozen</x:v>
      </x:c>
      <x:c r="H17" s="16" t="str"/>
    </x:row>
    <x:row r="18" ht="16.799999237060547" hidden="0" customHeight="1">
      <x:c r="A18" s="16" t="str">
        <x:v>C-04</x:v>
      </x:c>
      <x:c r="B18" s="16" t="str">
        <x:v>Hero</x:v>
      </x:c>
      <x:c r="C18" s="16" t="str">
        <x:v>hero</x:v>
      </x:c>
      <x:c r="D18" s="16" t="n">
        <x:v>1</x:v>
      </x:c>
      <x:c r="E18" s="16" t="str">
        <x:v>The world can wait until morning.</x:v>
      </x:c>
      <x:c r="F18" s="16" t="str"/>
      <x:c r="G18" s="16" t="str">
        <x:v>Frozen</x:v>
      </x:c>
      <x:c r="H18" s="16" t="str">
        <x:v>Bedroom Collection</x:v>
      </x:c>
    </x:row>
    <x:row r="19" ht="26.399999618530273" hidden="0" customHeight="1">
      <x:c r="A19" s="16" t="str">
        <x:v>C-04</x:v>
      </x:c>
      <x:c r="B19" s="16" t="str">
        <x:v>Subtitle</x:v>
      </x:c>
      <x:c r="C19" s="16" t="str">
        <x:v>subtitle</x:v>
      </x:c>
      <x:c r="D19" s="16" t="n">
        <x:v>1</x:v>
      </x:c>
      <x:c r="E19" s="16" t="str">
        <x:v>Designed around deeper rest, gentler mornings and quiet control.</x:v>
      </x:c>
      <x:c r="F19" s="16" t="str"/>
      <x:c r="G19" s="16" t="str">
        <x:v>Frozen</x:v>
      </x:c>
      <x:c r="H19" s="16" t="str">
        <x:v>One bedroom</x:v>
      </x:c>
    </x:row>
    <x:row r="20" ht="16.799999237060547" hidden="0" customHeight="1">
      <x:c r="A20" s="16" t="str">
        <x:v>C-04</x:v>
      </x:c>
      <x:c r="B20" s="16" t="str">
        <x:v>Story</x:v>
      </x:c>
      <x:c r="C20" s="16" t="str">
        <x:v>story</x:v>
      </x:c>
      <x:c r="D20" s="16" t="n">
        <x:v>1</x:v>
      </x:c>
      <x:c r="E20" s="16" t="str">
        <x:v>Bedroom Collection</x:v>
      </x:c>
      <x:c r="F20" s="16" t="str">
        <x:v>Bedroom helps the room settle at night, guide movement gently and let the morning arrive with less friction.</x:v>
      </x:c>
      <x:c r="G20" s="16" t="str">
        <x:v>Frozen</x:v>
      </x:c>
      <x:c r="H20" s="16" t="str">
        <x:v>V2.06 product story</x:v>
      </x:c>
    </x:row>
    <x:row r="21" ht="16.799999237060547" hidden="0" customHeight="1">
      <x:c r="A21" s="16" t="str">
        <x:v>C-04</x:v>
      </x:c>
      <x:c r="B21" s="16" t="str">
        <x:v>Footer</x:v>
      </x:c>
      <x:c r="C21" s="16" t="str">
        <x:v>footer</x:v>
      </x:c>
      <x:c r="D21" s="16" t="n">
        <x:v>1</x:v>
      </x:c>
      <x:c r="E21" s="16" t="str">
        <x:v>Part of the Better Home Residential Operating System</x:v>
      </x:c>
      <x:c r="F21" s="16" t="str"/>
      <x:c r="G21" s="16" t="str">
        <x:v>Frozen</x:v>
      </x:c>
      <x:c r="H21" s="16" t="str"/>
    </x:row>
    <x:row r="22" ht="16.799999237060547" hidden="0" customHeight="1">
      <x:c r="A22" s="16" t="str">
        <x:v>C-05</x:v>
      </x:c>
      <x:c r="B22" s="16" t="str">
        <x:v>Hero</x:v>
      </x:c>
      <x:c r="C22" s="16" t="str">
        <x:v>hero</x:v>
      </x:c>
      <x:c r="D22" s="16" t="n">
        <x:v>1</x:v>
      </x:c>
      <x:c r="E22" s="16" t="str">
        <x:v>Every day begins and ends in comfort.</x:v>
      </x:c>
      <x:c r="F22" s="16" t="str"/>
      <x:c r="G22" s="16" t="str">
        <x:v>Frozen</x:v>
      </x:c>
      <x:c r="H22" s="16" t="str">
        <x:v>Bathroom Collection</x:v>
      </x:c>
    </x:row>
    <x:row r="23" ht="16.799999237060547" hidden="0" customHeight="1">
      <x:c r="A23" s="16" t="str">
        <x:v>C-05</x:v>
      </x:c>
      <x:c r="B23" s="16" t="str">
        <x:v>Subtitle</x:v>
      </x:c>
      <x:c r="C23" s="16" t="str">
        <x:v>subtitle</x:v>
      </x:c>
      <x:c r="D23" s="16" t="n">
        <x:v>1</x:v>
      </x:c>
      <x:c r="E23" s="16" t="str">
        <x:v>Light and ventilation settle into the rhythm of the room.</x:v>
      </x:c>
      <x:c r="F23" s="16" t="str"/>
      <x:c r="G23" s="16" t="str">
        <x:v>Frozen</x:v>
      </x:c>
      <x:c r="H23" s="16" t="str">
        <x:v>One bathroom / ensuite / powder room</x:v>
      </x:c>
    </x:row>
    <x:row r="24" ht="16.799999237060547" hidden="0" customHeight="1">
      <x:c r="A24" s="16" t="str">
        <x:v>C-05</x:v>
      </x:c>
      <x:c r="B24" s="16" t="str">
        <x:v>Story</x:v>
      </x:c>
      <x:c r="C24" s="16" t="str">
        <x:v>story</x:v>
      </x:c>
      <x:c r="D24" s="16" t="n">
        <x:v>1</x:v>
      </x:c>
      <x:c r="E24" s="16" t="str">
        <x:v>Bathroom Collection</x:v>
      </x:c>
      <x:c r="F24" s="16" t="str">
        <x:v>Bathroom coordinates light, one existing exhaust fan and deliberate shower and night scenes.</x:v>
      </x:c>
      <x:c r="G24" s="16" t="str">
        <x:v>Frozen</x:v>
      </x:c>
      <x:c r="H24" s="16" t="str">
        <x:v>V2.06 product story</x:v>
      </x:c>
    </x:row>
    <x:row r="25" ht="16.799999237060547" hidden="0" customHeight="1">
      <x:c r="A25" s="16" t="str">
        <x:v>C-05</x:v>
      </x:c>
      <x:c r="B25" s="16" t="str">
        <x:v>Footer</x:v>
      </x:c>
      <x:c r="C25" s="16" t="str">
        <x:v>footer</x:v>
      </x:c>
      <x:c r="D25" s="16" t="n">
        <x:v>1</x:v>
      </x:c>
      <x:c r="E25" s="16" t="str">
        <x:v>Part of the Better Home Residential Operating System</x:v>
      </x:c>
      <x:c r="F25" s="16" t="str"/>
      <x:c r="G25" s="16" t="str">
        <x:v>Frozen</x:v>
      </x:c>
      <x:c r="H25" s="16" t="str"/>
    </x:row>
    <x:row r="26" ht="16.799999237060547" hidden="0" customHeight="1">
      <x:c r="A26" s="16" t="str">
        <x:v>C-06</x:v>
      </x:c>
      <x:c r="B26" s="16" t="str">
        <x:v>Hero</x:v>
      </x:c>
      <x:c r="C26" s="16" t="str">
        <x:v>hero</x:v>
      </x:c>
      <x:c r="D26" s="16" t="n">
        <x:v>1</x:v>
      </x:c>
      <x:c r="E26" s="16" t="str">
        <x:v>Leave knowing home has settled.</x:v>
      </x:c>
      <x:c r="F26" s="16" t="str"/>
      <x:c r="G26" s="16" t="str">
        <x:v>Frozen</x:v>
      </x:c>
      <x:c r="H26" s="16" t="str">
        <x:v>Away Collection</x:v>
      </x:c>
    </x:row>
    <x:row r="27" ht="16.799999237060547" hidden="0" customHeight="1">
      <x:c r="A27" s="16" t="str">
        <x:v>C-06</x:v>
      </x:c>
      <x:c r="B27" s="16" t="str">
        <x:v>Subtitle</x:v>
      </x:c>
      <x:c r="C27" s="16" t="str">
        <x:v>subtitle</x:v>
      </x:c>
      <x:c r="D27" s="16" t="n">
        <x:v>1</x:v>
      </x:c>
      <x:c r="E27" s="16" t="str">
        <x:v>A clear departure, a quieter return.</x:v>
      </x:c>
      <x:c r="F27" s="16" t="str"/>
      <x:c r="G27" s="16" t="str">
        <x:v>Frozen</x:v>
      </x:c>
      <x:c r="H27" s="16" t="str">
        <x:v>Whole-home logic over existing Collections</x:v>
      </x:c>
    </x:row>
    <x:row r="28" ht="16.799999237060547" hidden="0" customHeight="1">
      <x:c r="A28" s="16" t="str">
        <x:v>C-06</x:v>
      </x:c>
      <x:c r="B28" s="16" t="str">
        <x:v>Story</x:v>
      </x:c>
      <x:c r="C28" s="16" t="str">
        <x:v>story</x:v>
      </x:c>
      <x:c r="D28" s="16" t="n">
        <x:v>1</x:v>
      </x:c>
      <x:c r="E28" s="16" t="str">
        <x:v>Away Collection</x:v>
      </x:c>
      <x:c r="F28" s="16" t="str">
        <x:v>Away checks selected openings and settles devices that already belong to Better Home Collections.</x:v>
      </x:c>
      <x:c r="G28" s="16" t="str">
        <x:v>Frozen</x:v>
      </x:c>
      <x:c r="H28" s="16" t="str">
        <x:v>V2.06 product story</x:v>
      </x:c>
    </x:row>
    <x:row r="29" ht="16.799999237060547" hidden="0" customHeight="1">
      <x:c r="A29" s="16" t="str">
        <x:v>C-06</x:v>
      </x:c>
      <x:c r="B29" s="16" t="str">
        <x:v>Footer</x:v>
      </x:c>
      <x:c r="C29" s="16" t="str">
        <x:v>footer</x:v>
      </x:c>
      <x:c r="D29" s="16" t="n">
        <x:v>1</x:v>
      </x:c>
      <x:c r="E29" s="16" t="str">
        <x:v>Part of the Better Home Residential Operating System</x:v>
      </x:c>
      <x:c r="F29" s="16" t="str"/>
      <x:c r="G29" s="16" t="str">
        <x:v>Frozen</x:v>
      </x:c>
      <x:c r="H29" s="16" t="str"/>
    </x:row>
    <x:row r="30" ht="26.399999618530273" hidden="0" customHeight="1">
      <x:c r="A30" s="16" t="str">
        <x:v>E-01</x:v>
      </x:c>
      <x:c r="B30" s="16" t="str">
        <x:v>Hero</x:v>
      </x:c>
      <x:c r="C30" s="16" t="str">
        <x:v>hero</x:v>
      </x:c>
      <x:c r="D30" s="16" t="n">
        <x:v>1</x:v>
      </x:c>
      <x:c r="E30" s="16" t="str">
        <x:v>Colour, warmth and atmosphere for the moments that matter.</x:v>
      </x:c>
      <x:c r="F30" s="16" t="str"/>
      <x:c r="G30" s="16" t="str">
        <x:v>Frozen</x:v>
      </x:c>
      <x:c r="H30" s="16" t="str">
        <x:v>Mood Lighting</x:v>
      </x:c>
    </x:row>
    <x:row r="31" ht="16.799999237060547" hidden="0" customHeight="1">
      <x:c r="A31" s="16" t="str">
        <x:v>E-01</x:v>
      </x:c>
      <x:c r="B31" s="16" t="str">
        <x:v>Subtitle</x:v>
      </x:c>
      <x:c r="C31" s="16" t="str">
        <x:v>subtitle</x:v>
      </x:c>
      <x:c r="D31" s="16" t="n">
        <x:v>1</x:v>
      </x:c>
      <x:c r="E31" s="16" t="str">
        <x:v>A richer layer for the scenes you already use.</x:v>
      </x:c>
      <x:c r="F31" s="16" t="str"/>
      <x:c r="G31" s="16" t="str">
        <x:v>Frozen</x:v>
      </x:c>
      <x:c r="H31" s="16" t="str">
        <x:v>One compatible Living / Bedroom / Bathroom</x:v>
      </x:c>
    </x:row>
    <x:row r="32" ht="16.799999237060547" hidden="0" customHeight="1">
      <x:c r="A32" s="16" t="str">
        <x:v>E-01</x:v>
      </x:c>
      <x:c r="B32" s="16" t="str">
        <x:v>Story</x:v>
      </x:c>
      <x:c r="C32" s="16" t="str">
        <x:v>story</x:v>
      </x:c>
      <x:c r="D32" s="16" t="n">
        <x:v>1</x:v>
      </x:c>
      <x:c r="E32" s="16" t="str">
        <x:v>Mood Lighting</x:v>
      </x:c>
      <x:c r="F32" s="16" t="str">
        <x:v>Mood Lighting enriches existing scenes with restrained colour, warmth and atmosphere.</x:v>
      </x:c>
      <x:c r="G32" s="16" t="str">
        <x:v>Frozen</x:v>
      </x:c>
      <x:c r="H32" s="16" t="str">
        <x:v>V2.06 product story</x:v>
      </x:c>
    </x:row>
    <x:row r="33" ht="16.799999237060547" hidden="0" customHeight="1">
      <x:c r="A33" s="16" t="str">
        <x:v>E-01</x:v>
      </x:c>
      <x:c r="B33" s="16" t="str">
        <x:v>Footer</x:v>
      </x:c>
      <x:c r="C33" s="16" t="str">
        <x:v>footer</x:v>
      </x:c>
      <x:c r="D33" s="16" t="n">
        <x:v>1</x:v>
      </x:c>
      <x:c r="E33" s="16" t="str">
        <x:v>Part of the Better Home Residential Operating System</x:v>
      </x:c>
      <x:c r="F33" s="16" t="str"/>
      <x:c r="G33" s="16" t="str">
        <x:v>Frozen</x:v>
      </x:c>
      <x:c r="H33" s="16" t="str"/>
    </x:row>
    <x:row r="34" ht="16.799999237060547" hidden="0" customHeight="1">
      <x:c r="A34" s="16" t="str">
        <x:v>E-02</x:v>
      </x:c>
      <x:c r="B34" s="16" t="str">
        <x:v>Hero</x:v>
      </x:c>
      <x:c r="C34" s="16" t="str">
        <x:v>hero</x:v>
      </x:c>
      <x:c r="D34" s="16" t="n">
        <x:v>1</x:v>
      </x:c>
      <x:c r="E34" s="16" t="str">
        <x:v>Comfort should never ask for attention.</x:v>
      </x:c>
      <x:c r="F34" s="16" t="str"/>
      <x:c r="G34" s="16" t="str">
        <x:v>Frozen</x:v>
      </x:c>
      <x:c r="H34" s="16" t="str">
        <x:v>Climate</x:v>
      </x:c>
    </x:row>
    <x:row r="35" ht="26.399999618530273" hidden="0" customHeight="1">
      <x:c r="A35" s="16" t="str">
        <x:v>E-02</x:v>
      </x:c>
      <x:c r="B35" s="16" t="str">
        <x:v>Subtitle</x:v>
      </x:c>
      <x:c r="C35" s="16" t="str">
        <x:v>subtitle</x:v>
      </x:c>
      <x:c r="D35" s="16" t="n">
        <x:v>1</x:v>
      </x:c>
      <x:c r="E35" s="16" t="str">
        <x:v>The home quietly manages comfort as life moves through it.</x:v>
      </x:c>
      <x:c r="F35" s="16" t="str"/>
      <x:c r="G35" s="16" t="str">
        <x:v>Frozen</x:v>
      </x:c>
      <x:c r="H35" s="16" t="str">
        <x:v>One compatible ducted HVAC system, up to 6 existing zones</x:v>
      </x:c>
    </x:row>
    <x:row r="36" ht="26.399999618530273" hidden="0" customHeight="1">
      <x:c r="A36" s="16" t="str">
        <x:v>E-02</x:v>
      </x:c>
      <x:c r="B36" s="16" t="str">
        <x:v>Story</x:v>
      </x:c>
      <x:c r="C36" s="16" t="str">
        <x:v>story</x:v>
      </x:c>
      <x:c r="D36" s="16" t="n">
        <x:v>1</x:v>
      </x:c>
      <x:c r="E36" s="16" t="str">
        <x:v>Climate</x:v>
      </x:c>
      <x:c r="F36" s="16" t="str">
        <x:v>Climate coordinates one compatible existing ducted system and existing zones using Collection occupancy and temperature data.</x:v>
      </x:c>
      <x:c r="G36" s="16" t="str">
        <x:v>Frozen</x:v>
      </x:c>
      <x:c r="H36" s="16" t="str">
        <x:v>V2.06 product story</x:v>
      </x:c>
    </x:row>
    <x:row r="37" ht="16.799999237060547" hidden="0" customHeight="1">
      <x:c r="A37" s="16" t="str">
        <x:v>E-02</x:v>
      </x:c>
      <x:c r="B37" s="16" t="str">
        <x:v>Footer</x:v>
      </x:c>
      <x:c r="C37" s="16" t="str">
        <x:v>footer</x:v>
      </x:c>
      <x:c r="D37" s="16" t="n">
        <x:v>1</x:v>
      </x:c>
      <x:c r="E37" s="16" t="str">
        <x:v>Part of the Better Home Residential Operating System</x:v>
      </x:c>
      <x:c r="F37" s="16" t="str"/>
      <x:c r="G37" s="16" t="str">
        <x:v>Frozen</x:v>
      </x:c>
      <x:c r="H37" s="16" t="str"/>
    </x:row>
    <x:row r="38" ht="16.799999237060547" hidden="0" customHeight="1">
      <x:c r="A38" s="16" t="str">
        <x:v>E-03</x:v>
      </x:c>
      <x:c r="B38" s="16" t="str">
        <x:v>Hero</x:v>
      </x:c>
      <x:c r="C38" s="16" t="str">
        <x:v>hero</x:v>
      </x:c>
      <x:c r="D38" s="16" t="n">
        <x:v>1</x:v>
      </x:c>
      <x:c r="E38" s="16" t="str">
        <x:v>A healthy home restores itself.</x:v>
      </x:c>
      <x:c r="F38" s="16" t="str"/>
      <x:c r="G38" s="16" t="str">
        <x:v>Frozen</x:v>
      </x:c>
      <x:c r="H38" s="16" t="str">
        <x:v>Healthy Air</x:v>
      </x:c>
    </x:row>
    <x:row r="39" ht="26.399999618530273" hidden="0" customHeight="1">
      <x:c r="A39" s="16" t="str">
        <x:v>E-03</x:v>
      </x:c>
      <x:c r="B39" s="16" t="str">
        <x:v>Subtitle</x:v>
      </x:c>
      <x:c r="C39" s="16" t="str">
        <x:v>subtitle</x:v>
      </x:c>
      <x:c r="D39" s="16" t="n">
        <x:v>1</x:v>
      </x:c>
      <x:c r="E39" s="16" t="str">
        <x:v>Fresh-air recovery guided by the room and the day outside.</x:v>
      </x:c>
      <x:c r="F39" s="16" t="str"/>
      <x:c r="G39" s="16" t="str">
        <x:v>Frozen</x:v>
      </x:c>
      <x:c r="H39" s="16" t="str">
        <x:v>One compatible Collection room / zone</x:v>
      </x:c>
    </x:row>
    <x:row r="40" ht="16.799999237060547" hidden="0" customHeight="1">
      <x:c r="A40" s="16" t="str">
        <x:v>E-03</x:v>
      </x:c>
      <x:c r="B40" s="16" t="str">
        <x:v>Story</x:v>
      </x:c>
      <x:c r="C40" s="16" t="str">
        <x:v>story</x:v>
      </x:c>
      <x:c r="D40" s="16" t="n">
        <x:v>1</x:v>
      </x:c>
      <x:c r="E40" s="16" t="str">
        <x:v>Healthy Air</x:v>
      </x:c>
      <x:c r="F40" s="16" t="str">
        <x:v>Healthy Air uses room sensing, online outdoor conditions and paired supply/extract fans to support air recovery.</x:v>
      </x:c>
      <x:c r="G40" s="16" t="str">
        <x:v>Frozen</x:v>
      </x:c>
      <x:c r="H40" s="16" t="str">
        <x:v>V2.06 product story</x:v>
      </x:c>
    </x:row>
    <x:row r="41" ht="16.799999237060547" hidden="0" customHeight="1">
      <x:c r="A41" s="16" t="str">
        <x:v>E-03</x:v>
      </x:c>
      <x:c r="B41" s="16" t="str">
        <x:v>Footer</x:v>
      </x:c>
      <x:c r="C41" s="16" t="str">
        <x:v>footer</x:v>
      </x:c>
      <x:c r="D41" s="16" t="n">
        <x:v>1</x:v>
      </x:c>
      <x:c r="E41" s="16" t="str">
        <x:v>Part of the Better Home Residential Operating System</x:v>
      </x:c>
      <x:c r="F41" s="16" t="str"/>
      <x:c r="G41" s="16" t="str">
        <x:v>Frozen</x:v>
      </x:c>
      <x:c r="H41" s="16" t="str"/>
    </x:row>
    <x:row r="42" ht="16.799999237060547" hidden="0" customHeight="1">
      <x:c r="A42" s="16" t="str">
        <x:v>E-04</x:v>
      </x:c>
      <x:c r="B42" s="16" t="str">
        <x:v>Hero</x:v>
      </x:c>
      <x:c r="C42" s="16" t="str">
        <x:v>hero</x:v>
      </x:c>
      <x:c r="D42" s="16" t="n">
        <x:v>1</x:v>
      </x:c>
      <x:c r="E42" s="16" t="str">
        <x:v>A beautiful garden quietly looks after itself.</x:v>
      </x:c>
      <x:c r="F42" s="16" t="str"/>
      <x:c r="G42" s="16" t="str">
        <x:v>Frozen</x:v>
      </x:c>
      <x:c r="H42" s="16" t="str">
        <x:v>Garden Care</x:v>
      </x:c>
    </x:row>
    <x:row r="43" ht="26.399999618530273" hidden="0" customHeight="1">
      <x:c r="A43" s="16" t="str">
        <x:v>E-04</x:v>
      </x:c>
      <x:c r="B43" s="16" t="str">
        <x:v>Subtitle</x:v>
      </x:c>
      <x:c r="C43" s="16" t="str">
        <x:v>subtitle</x:v>
      </x:c>
      <x:c r="D43" s="16" t="n">
        <x:v>1</x:v>
      </x:c>
      <x:c r="E43" s="16" t="str">
        <x:v>Weather-aware control, ready for the irrigation your landscaper installs.</x:v>
      </x:c>
      <x:c r="F43" s="16" t="str"/>
      <x:c r="G43" s="16" t="str">
        <x:v>Frozen</x:v>
      </x:c>
      <x:c r="H43" s="16" t="str">
        <x:v>Front and rear garden control interface</x:v>
      </x:c>
    </x:row>
    <x:row r="44" ht="26.399999618530273" hidden="0" customHeight="1">
      <x:c r="A44" s="16" t="str">
        <x:v>E-04</x:v>
      </x:c>
      <x:c r="B44" s="16" t="str">
        <x:v>Story</x:v>
      </x:c>
      <x:c r="C44" s="16" t="str">
        <x:v>story</x:v>
      </x:c>
      <x:c r="D44" s="16" t="n">
        <x:v>1</x:v>
      </x:c>
      <x:c r="E44" s="16" t="str">
        <x:v>Garden Care</x:v>
      </x:c>
      <x:c r="F44" s="16" t="str">
        <x:v>Garden Care provides the intelligent control interface while the landscaper owns valves, irrigation pipework and water delivery.</x:v>
      </x:c>
      <x:c r="G44" s="16" t="str">
        <x:v>Frozen</x:v>
      </x:c>
      <x:c r="H44" s="16" t="str">
        <x:v>V2.06 product story</x:v>
      </x:c>
    </x:row>
    <x:row r="45" ht="16.799999237060547" hidden="0" customHeight="1">
      <x:c r="A45" s="16" t="str">
        <x:v>E-04</x:v>
      </x:c>
      <x:c r="B45" s="16" t="str">
        <x:v>Footer</x:v>
      </x:c>
      <x:c r="C45" s="16" t="str">
        <x:v>footer</x:v>
      </x:c>
      <x:c r="D45" s="16" t="n">
        <x:v>1</x:v>
      </x:c>
      <x:c r="E45" s="16" t="str">
        <x:v>Part of the Better Home Residential Operating System</x:v>
      </x:c>
      <x:c r="F45" s="16" t="str"/>
      <x:c r="G45" s="16" t="str">
        <x:v>Frozen</x:v>
      </x:c>
      <x:c r="H45" s="16" t="str"/>
    </x:row>
    <x:row r="46" ht="16.799999237060547" hidden="0" customHeight="1">
      <x:c r="A46" s="16" t="str">
        <x:v>E-05</x:v>
      </x:c>
      <x:c r="B46" s="16" t="str">
        <x:v>Hero</x:v>
      </x:c>
      <x:c r="C46" s="16" t="str">
        <x:v>hero</x:v>
      </x:c>
      <x:c r="D46" s="16" t="n">
        <x:v>1</x:v>
      </x:c>
      <x:c r="E46" s="16" t="str">
        <x:v>The house makes its presence known.</x:v>
      </x:c>
      <x:c r="F46" s="16" t="str"/>
      <x:c r="G46" s="16" t="str">
        <x:v>Frozen</x:v>
      </x:c>
      <x:c r="H46" s="16" t="str">
        <x:v>Protection Bonus</x:v>
      </x:c>
    </x:row>
    <x:row r="47" ht="16.799999237060547" hidden="0" customHeight="1">
      <x:c r="A47" s="16" t="str">
        <x:v>E-05</x:v>
      </x:c>
      <x:c r="B47" s="16" t="str">
        <x:v>Subtitle</x:v>
      </x:c>
      <x:c r="C47" s="16" t="str">
        <x:v>subtitle</x:v>
      </x:c>
      <x:c r="D47" s="16" t="n">
        <x:v>1</x:v>
      </x:c>
      <x:c r="E47" s="16" t="str">
        <x:v>Visible response without noise.</x:v>
      </x:c>
      <x:c r="F47" s="16" t="str"/>
      <x:c r="G47" s="16" t="str">
        <x:v>Frozen</x:v>
      </x:c>
      <x:c r="H47" s="16" t="str">
        <x:v>Requires Entry + Away + CCTV</x:v>
      </x:c>
    </x:row>
    <x:row r="48" ht="16.799999237060547" hidden="0" customHeight="1">
      <x:c r="A48" s="16" t="str">
        <x:v>E-05</x:v>
      </x:c>
      <x:c r="B48" s="16" t="str">
        <x:v>Story</x:v>
      </x:c>
      <x:c r="C48" s="16" t="str">
        <x:v>story</x:v>
      </x:c>
      <x:c r="D48" s="16" t="n">
        <x:v>1</x:v>
      </x:c>
      <x:c r="E48" s="16" t="str">
        <x:v>Protection Bonus</x:v>
      </x:c>
      <x:c r="F48" s="16" t="str">
        <x:v>Protection is a free visible response made possible when Entry, Away and CCTV are all present.</x:v>
      </x:c>
      <x:c r="G48" s="16" t="str">
        <x:v>Frozen</x:v>
      </x:c>
      <x:c r="H48" s="16" t="str">
        <x:v>V2.06 product story</x:v>
      </x:c>
    </x:row>
    <x:row r="49" ht="16.799999237060547" hidden="0" customHeight="1">
      <x:c r="A49" s="16" t="str">
        <x:v>E-05</x:v>
      </x:c>
      <x:c r="B49" s="16" t="str">
        <x:v>Footer</x:v>
      </x:c>
      <x:c r="C49" s="16" t="str">
        <x:v>footer</x:v>
      </x:c>
      <x:c r="D49" s="16" t="n">
        <x:v>1</x:v>
      </x:c>
      <x:c r="E49" s="16" t="str">
        <x:v>Part of the Better Home Residential Operating System</x:v>
      </x:c>
      <x:c r="F49" s="16" t="str"/>
      <x:c r="G49" s="16" t="str">
        <x:v>Frozen</x:v>
      </x:c>
      <x:c r="H49" s="16" t="str"/>
    </x:row>
    <x:row r="50" ht="16.799999237060547" hidden="0" customHeight="1">
      <x:c r="A50" s="16" t="str">
        <x:v>E-06</x:v>
      </x:c>
      <x:c r="B50" s="16" t="str">
        <x:v>Hero</x:v>
      </x:c>
      <x:c r="C50" s="16" t="str">
        <x:v>hero</x:v>
      </x:c>
      <x:c r="D50" s="16" t="n">
        <x:v>1</x:v>
      </x:c>
      <x:c r="E50" s="16" t="str">
        <x:v>See what happened. Know what matters.</x:v>
      </x:c>
      <x:c r="F50" s="16" t="str"/>
      <x:c r="G50" s="16" t="str">
        <x:v>Frozen</x:v>
      </x:c>
      <x:c r="H50" s="16" t="str">
        <x:v>CCTV</x:v>
      </x:c>
    </x:row>
    <x:row r="51" ht="16.799999237060547" hidden="0" customHeight="1">
      <x:c r="A51" s="16" t="str">
        <x:v>E-06</x:v>
      </x:c>
      <x:c r="B51" s="16" t="str">
        <x:v>Subtitle</x:v>
      </x:c>
      <x:c r="C51" s="16" t="str">
        <x:v>subtitle</x:v>
      </x:c>
      <x:c r="D51" s="16" t="n">
        <x:v>1</x:v>
      </x:c>
      <x:c r="E51" s="16" t="str">
        <x:v>Professional local recording with room to expand.</x:v>
      </x:c>
      <x:c r="F51" s="16" t="str"/>
      <x:c r="G51" s="16" t="str">
        <x:v>Frozen</x:v>
      </x:c>
      <x:c r="H51" s="16" t="str">
        <x:v>One property; 4 standard camera positions</x:v>
      </x:c>
    </x:row>
    <x:row r="52" ht="16.799999237060547" hidden="0" customHeight="1">
      <x:c r="A52" s="16" t="str">
        <x:v>E-06</x:v>
      </x:c>
      <x:c r="B52" s="16" t="str">
        <x:v>Story</x:v>
      </x:c>
      <x:c r="C52" s="16" t="str">
        <x:v>story</x:v>
      </x:c>
      <x:c r="D52" s="16" t="n">
        <x:v>1</x:v>
      </x:c>
      <x:c r="E52" s="16" t="str">
        <x:v>CCTV</x:v>
      </x:c>
      <x:c r="F52" s="16" t="str">
        <x:v>CCTV combines local professional recording, intelligent events and a prepared Better Home event interface.</x:v>
      </x:c>
      <x:c r="G52" s="16" t="str">
        <x:v>Frozen</x:v>
      </x:c>
      <x:c r="H52" s="16" t="str">
        <x:v>V2.06 product story</x:v>
      </x:c>
    </x:row>
    <x:row r="53" ht="16.799999237060547" hidden="0" customHeight="1">
      <x:c r="A53" s="16" t="str">
        <x:v>E-06</x:v>
      </x:c>
      <x:c r="B53" s="16" t="str">
        <x:v>Footer</x:v>
      </x:c>
      <x:c r="C53" s="16" t="str">
        <x:v>footer</x:v>
      </x:c>
      <x:c r="D53" s="16" t="n">
        <x:v>1</x:v>
      </x:c>
      <x:c r="E53" s="16" t="str">
        <x:v>Part of the Better Home Residential Operating System</x:v>
      </x:c>
      <x:c r="F53" s="16" t="str"/>
      <x:c r="G53" s="16" t="str">
        <x:v>Frozen</x:v>
      </x:c>
      <x:c r="H53" s="16" t="str"/>
    </x:row>
    <x:row r="54" ht="16.799999237060547" hidden="0" customHeight="1">
      <x:c r="A54" s="16" t="str">
        <x:v>E-07</x:v>
      </x:c>
      <x:c r="B54" s="16" t="str">
        <x:v>Hero</x:v>
      </x:c>
      <x:c r="C54" s="16" t="str">
        <x:v>hero</x:v>
      </x:c>
      <x:c r="D54" s="16" t="n">
        <x:v>1</x:v>
      </x:c>
      <x:c r="E54" s="16" t="str">
        <x:v>Comfort, cleanliness and quiet convenience.</x:v>
      </x:c>
      <x:c r="F54" s="16" t="str"/>
      <x:c r="G54" s="16" t="str">
        <x:v>Frozen</x:v>
      </x:c>
      <x:c r="H54" s="16" t="str">
        <x:v>Smart Toilet</x:v>
      </x:c>
    </x:row>
    <x:row r="55" ht="16.799999237060547" hidden="0" customHeight="1">
      <x:c r="A55" s="16" t="str">
        <x:v>E-07</x:v>
      </x:c>
      <x:c r="B55" s="16" t="str">
        <x:v>Subtitle</x:v>
      </x:c>
      <x:c r="C55" s="16" t="str">
        <x:v>subtitle</x:v>
      </x:c>
      <x:c r="D55" s="16" t="n">
        <x:v>1</x:v>
      </x:c>
      <x:c r="E55" s="16" t="str">
        <x:v>A complete smart toilet that works independently.</x:v>
      </x:c>
      <x:c r="F55" s="16" t="str"/>
      <x:c r="G55" s="16" t="str">
        <x:v>Frozen</x:v>
      </x:c>
      <x:c r="H55" s="16" t="str">
        <x:v>One toilet</x:v>
      </x:c>
    </x:row>
    <x:row r="56" ht="16.799999237060547" hidden="0" customHeight="1">
      <x:c r="A56" s="16" t="str">
        <x:v>E-07</x:v>
      </x:c>
      <x:c r="B56" s="16" t="str">
        <x:v>Story</x:v>
      </x:c>
      <x:c r="C56" s="16" t="str">
        <x:v>story</x:v>
      </x:c>
      <x:c r="D56" s="16" t="n">
        <x:v>1</x:v>
      </x:c>
      <x:c r="E56" s="16" t="str">
        <x:v>Smart Toilet</x:v>
      </x:c>
      <x:c r="F56" s="16" t="str">
        <x:v>Smart Toilet is a complete independent appliance focused on comfort, hygiene and convenience.</x:v>
      </x:c>
      <x:c r="G56" s="16" t="str">
        <x:v>Frozen</x:v>
      </x:c>
      <x:c r="H56" s="16" t="str">
        <x:v>V2.06 product story</x:v>
      </x:c>
    </x:row>
    <x:row r="57" ht="16.799999237060547" hidden="0" customHeight="1">
      <x:c r="A57" s="16" t="str">
        <x:v>E-07</x:v>
      </x:c>
      <x:c r="B57" s="16" t="str">
        <x:v>Footer</x:v>
      </x:c>
      <x:c r="C57" s="16" t="str">
        <x:v>footer</x:v>
      </x:c>
      <x:c r="D57" s="16" t="n">
        <x:v>1</x:v>
      </x:c>
      <x:c r="E57" s="16" t="str">
        <x:v>Part of the Better Home Residential Operating System</x:v>
      </x:c>
      <x:c r="F57" s="16" t="str"/>
      <x:c r="G57" s="16" t="str">
        <x:v>Frozen</x:v>
      </x:c>
      <x:c r="H57" s="16" t="str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G60"/>
      <x:c r="H60"/>
    </x:row>
    <x:row r="61">
      <x:c r="A61"/>
      <x:c r="B61"/>
      <x:c r="C61"/>
      <x:c r="D61"/>
      <x:c r="E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</x:sheetData>
  <x:pageMargins left="0.7" right="0.7" top="0.75" bottom="0.75" header="0.3" footer="0.3"/>
  <x:tableParts count="1">
    <x:tablePart xmlns:r="http://schemas.openxmlformats.org/officeDocument/2006/relationships" r:id="R75e3b4d450f54402"/>
  </x:tableParts>
</x:worksheet>
</file>

<file path=xl/worksheets/sheet16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3" width="24" customWidth="1"/>
    <x:col min="4" max="4" width="32" customWidth="1"/>
    <x:col min="5" max="5" width="14" customWidth="1"/>
    <x:col min="6" max="6" width="40" customWidth="1"/>
  </x:cols>
  <x:sheetData>
    <x:row r="1" ht="16.799999237060547" hidden="0" customHeight="1">
      <x:c r="A1" s="17" t="str">
        <x:v>Product ID</x:v>
      </x:c>
      <x:c r="B1" s="17" t="str">
        <x:v>Content Key</x:v>
      </x:c>
      <x:c r="C1" s="17" t="str">
        <x:v>Lucide Icon Name</x:v>
      </x:c>
      <x:c r="D1" s="17" t="str">
        <x:v>Icon Purpose</x:v>
      </x:c>
      <x:c r="E1" s="17" t="str">
        <x:v>Status</x:v>
      </x:c>
      <x:c r="F1" s="17" t="str">
        <x:v>Notes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connected_home</x:v>
      </x:c>
      <x:c r="C2" s="16" t="str">
        <x:v>network</x:v>
      </x:c>
      <x:c r="D2" s="16" t="str">
        <x:v>Connected home</x:v>
      </x:c>
      <x:c r="E2" s="16" t="str">
        <x:v>Frozen</x:v>
      </x:c>
      <x:c r="F2" s="16" t="str"/>
    </x:row>
    <x:row r="3" ht="16.799999237060547" hidden="0" customHeight="1">
      <x:c r="A3" s="16" t="str">
        <x:v>F-01</x:v>
      </x:c>
      <x:c r="B3" s="16" t="str">
        <x:v>future_ready</x:v>
      </x:c>
      <x:c r="C3" s="16" t="str">
        <x:v>plug-zap</x:v>
      </x:c>
      <x:c r="D3" s="16" t="str">
        <x:v>Future ready</x:v>
      </x:c>
      <x:c r="E3" s="16" t="str">
        <x:v>Frozen</x:v>
      </x:c>
      <x:c r="F3" s="16" t="str"/>
    </x:row>
    <x:row r="4" ht="16.799999237060547" hidden="0" customHeight="1">
      <x:c r="A4" s="16" t="str">
        <x:v>C-01</x:v>
      </x:c>
      <x:c r="B4" s="16" t="str">
        <x:v>outdoor_welcome</x:v>
      </x:c>
      <x:c r="C4" s="16" t="str">
        <x:v>lamp-wall-up</x:v>
      </x:c>
      <x:c r="D4" s="16" t="str">
        <x:v>Outdoor welcome</x:v>
      </x:c>
      <x:c r="E4" s="16" t="str">
        <x:v>Frozen</x:v>
      </x:c>
      <x:c r="F4" s="16" t="str"/>
    </x:row>
    <x:row r="5" ht="16.799999237060547" hidden="0" customHeight="1">
      <x:c r="A5" s="16" t="str">
        <x:v>C-01</x:v>
      </x:c>
      <x:c r="B5" s="16" t="str">
        <x:v>smart_access</x:v>
      </x:c>
      <x:c r="C5" s="16" t="str">
        <x:v>lock-keyhole</x:v>
      </x:c>
      <x:c r="D5" s="16" t="str">
        <x:v>Access</x:v>
      </x:c>
      <x:c r="E5" s="16" t="str">
        <x:v>Frozen</x:v>
      </x:c>
      <x:c r="F5" s="16" t="str"/>
    </x:row>
    <x:row r="6" ht="16.799999237060547" hidden="0" customHeight="1">
      <x:c r="A6" s="16" t="str">
        <x:v>C-01</x:v>
      </x:c>
      <x:c r="B6" s="16" t="str">
        <x:v>door_communication</x:v>
      </x:c>
      <x:c r="C6" s="16" t="str">
        <x:v>bell</x:v>
      </x:c>
      <x:c r="D6" s="16" t="str">
        <x:v>Door communication</x:v>
      </x:c>
      <x:c r="E6" s="16" t="str">
        <x:v>Frozen</x:v>
      </x:c>
      <x:c r="F6" s="16" t="str"/>
    </x:row>
    <x:row r="7" ht="16.799999237060547" hidden="0" customHeight="1">
      <x:c r="A7" s="16" t="str">
        <x:v>C-02</x:v>
      </x:c>
      <x:c r="B7" s="16" t="str">
        <x:v>together</x:v>
      </x:c>
      <x:c r="C7" s="16" t="str">
        <x:v>users</x:v>
      </x:c>
      <x:c r="D7" s="16" t="str">
        <x:v>Family time</x:v>
      </x:c>
      <x:c r="E7" s="16" t="str">
        <x:v>Frozen</x:v>
      </x:c>
      <x:c r="F7" s="16" t="str"/>
    </x:row>
    <x:row r="8" ht="16.799999237060547" hidden="0" customHeight="1">
      <x:c r="A8" s="16" t="str">
        <x:v>C-02</x:v>
      </x:c>
      <x:c r="B8" s="16" t="str">
        <x:v>movie</x:v>
      </x:c>
      <x:c r="C8" s="16" t="str">
        <x:v>clapperboard</x:v>
      </x:c>
      <x:c r="D8" s="16" t="str">
        <x:v>Movie</x:v>
      </x:c>
      <x:c r="E8" s="16" t="str">
        <x:v>Frozen</x:v>
      </x:c>
      <x:c r="F8" s="16" t="str"/>
    </x:row>
    <x:row r="9" ht="16.799999237060547" hidden="0" customHeight="1">
      <x:c r="A9" s="16" t="str">
        <x:v>C-02</x:v>
      </x:c>
      <x:c r="B9" s="16" t="str">
        <x:v>reading</x:v>
      </x:c>
      <x:c r="C9" s="16" t="str">
        <x:v>book-open</x:v>
      </x:c>
      <x:c r="D9" s="16" t="str">
        <x:v>Reading</x:v>
      </x:c>
      <x:c r="E9" s="16" t="str">
        <x:v>Frozen</x:v>
      </x:c>
      <x:c r="F9" s="16" t="str"/>
    </x:row>
    <x:row r="10" ht="16.799999237060547" hidden="0" customHeight="1">
      <x:c r="A10" s="16" t="str">
        <x:v>C-02</x:v>
      </x:c>
      <x:c r="B10" s="16" t="str">
        <x:v>relax</x:v>
      </x:c>
      <x:c r="C10" s="16" t="str">
        <x:v>armchair</x:v>
      </x:c>
      <x:c r="D10" s="16" t="str">
        <x:v>Relax</x:v>
      </x:c>
      <x:c r="E10" s="16" t="str">
        <x:v>Frozen</x:v>
      </x:c>
      <x:c r="F10" s="16" t="str"/>
    </x:row>
    <x:row r="11" ht="16.799999237060547" hidden="0" customHeight="1">
      <x:c r="A11" s="16" t="str">
        <x:v>C-03</x:v>
      </x:c>
      <x:c r="B11" s="16" t="str">
        <x:v>morning_ready</x:v>
      </x:c>
      <x:c r="C11" s="16" t="str">
        <x:v>coffee</x:v>
      </x:c>
      <x:c r="D11" s="16" t="str">
        <x:v>Morning</x:v>
      </x:c>
      <x:c r="E11" s="16" t="str">
        <x:v>Frozen</x:v>
      </x:c>
      <x:c r="F11" s="16" t="str"/>
    </x:row>
    <x:row r="12" ht="16.799999237060547" hidden="0" customHeight="1">
      <x:c r="A12" s="16" t="str">
        <x:v>C-03</x:v>
      </x:c>
      <x:c r="B12" s="16" t="str">
        <x:v>cooking</x:v>
      </x:c>
      <x:c r="C12" s="16" t="str">
        <x:v>chef-hat</x:v>
      </x:c>
      <x:c r="D12" s="16" t="str">
        <x:v>Cooking</x:v>
      </x:c>
      <x:c r="E12" s="16" t="str">
        <x:v>Frozen</x:v>
      </x:c>
      <x:c r="F12" s="16" t="str"/>
    </x:row>
    <x:row r="13" ht="16.799999237060547" hidden="0" customHeight="1">
      <x:c r="A13" s="16" t="str">
        <x:v>C-03</x:v>
      </x:c>
      <x:c r="B13" s="16" t="str">
        <x:v>night_kitchen</x:v>
      </x:c>
      <x:c r="C13" s="16" t="str">
        <x:v>moon</x:v>
      </x:c>
      <x:c r="D13" s="16" t="str">
        <x:v>Night Kitchen</x:v>
      </x:c>
      <x:c r="E13" s="16" t="str">
        <x:v>Frozen</x:v>
      </x:c>
      <x:c r="F13" s="16" t="str"/>
    </x:row>
    <x:row r="14" ht="16.799999237060547" hidden="0" customHeight="1">
      <x:c r="A14" s="16" t="str">
        <x:v>C-04</x:v>
      </x:c>
      <x:c r="B14" s="16" t="str">
        <x:v>good_night</x:v>
      </x:c>
      <x:c r="C14" s="16" t="str">
        <x:v>moon</x:v>
      </x:c>
      <x:c r="D14" s="16" t="str">
        <x:v>Good Night</x:v>
      </x:c>
      <x:c r="E14" s="16" t="str">
        <x:v>Frozen</x:v>
      </x:c>
      <x:c r="F14" s="16" t="str"/>
    </x:row>
    <x:row r="15" ht="16.799999237060547" hidden="0" customHeight="1">
      <x:c r="A15" s="16" t="str">
        <x:v>C-04</x:v>
      </x:c>
      <x:c r="B15" s="16" t="str">
        <x:v>night_path</x:v>
      </x:c>
      <x:c r="C15" s="16" t="str">
        <x:v>footprints</x:v>
      </x:c>
      <x:c r="D15" s="16" t="str">
        <x:v>Night Path</x:v>
      </x:c>
      <x:c r="E15" s="16" t="str">
        <x:v>Frozen</x:v>
      </x:c>
      <x:c r="F15" s="16" t="str"/>
    </x:row>
    <x:row r="16" ht="16.799999237060547" hidden="0" customHeight="1">
      <x:c r="A16" s="16" t="str">
        <x:v>C-04</x:v>
      </x:c>
      <x:c r="B16" s="16" t="str">
        <x:v>gentle_wake</x:v>
      </x:c>
      <x:c r="C16" s="16" t="str">
        <x:v>sunrise</x:v>
      </x:c>
      <x:c r="D16" s="16" t="str">
        <x:v>Gentle Wake</x:v>
      </x:c>
      <x:c r="E16" s="16" t="str">
        <x:v>Frozen</x:v>
      </x:c>
      <x:c r="F16" s="16" t="str"/>
    </x:row>
    <x:row r="17" ht="16.799999237060547" hidden="0" customHeight="1">
      <x:c r="A17" s="16" t="str">
        <x:v>C-05</x:v>
      </x:c>
      <x:c r="B17" s="16" t="str">
        <x:v>everyday</x:v>
      </x:c>
      <x:c r="C17" s="16" t="str">
        <x:v>toggle-left</x:v>
      </x:c>
      <x:c r="D17" s="16" t="str">
        <x:v>Everyday</x:v>
      </x:c>
      <x:c r="E17" s="16" t="str">
        <x:v>Frozen</x:v>
      </x:c>
      <x:c r="F17" s="16" t="str"/>
    </x:row>
    <x:row r="18" ht="16.799999237060547" hidden="0" customHeight="1">
      <x:c r="A18" s="16" t="str">
        <x:v>C-05</x:v>
      </x:c>
      <x:c r="B18" s="16" t="str">
        <x:v>shower</x:v>
      </x:c>
      <x:c r="C18" s="16" t="str">
        <x:v>shower-head</x:v>
      </x:c>
      <x:c r="D18" s="16" t="str">
        <x:v>Shower</x:v>
      </x:c>
      <x:c r="E18" s="16" t="str">
        <x:v>Frozen</x:v>
      </x:c>
      <x:c r="F18" s="16" t="str"/>
    </x:row>
    <x:row r="19" ht="16.799999237060547" hidden="0" customHeight="1">
      <x:c r="A19" s="16" t="str">
        <x:v>C-05</x:v>
      </x:c>
      <x:c r="B19" s="16" t="str">
        <x:v>night</x:v>
      </x:c>
      <x:c r="C19" s="16" t="str">
        <x:v>moon</x:v>
      </x:c>
      <x:c r="D19" s="16" t="str">
        <x:v>Night</x:v>
      </x:c>
      <x:c r="E19" s="16" t="str">
        <x:v>Frozen</x:v>
      </x:c>
      <x:c r="F19" s="16" t="str"/>
    </x:row>
    <x:row r="20" ht="16.799999237060547" hidden="0" customHeight="1">
      <x:c r="A20" s="16" t="str">
        <x:v>C-06</x:v>
      </x:c>
      <x:c r="B20" s="16" t="str">
        <x:v>leave_home</x:v>
      </x:c>
      <x:c r="C20" s="16" t="str">
        <x:v>door-closed</x:v>
      </x:c>
      <x:c r="D20" s="16" t="str">
        <x:v>Leave Home</x:v>
      </x:c>
      <x:c r="E20" s="16" t="str">
        <x:v>Frozen</x:v>
      </x:c>
      <x:c r="F20" s="16" t="str"/>
    </x:row>
    <x:row r="21" ht="16.799999237060547" hidden="0" customHeight="1">
      <x:c r="A21" s="16" t="str">
        <x:v>C-06</x:v>
      </x:c>
      <x:c r="B21" s="16" t="str">
        <x:v>home_check</x:v>
      </x:c>
      <x:c r="C21" s="16" t="str">
        <x:v>list-checks</x:v>
      </x:c>
      <x:c r="D21" s="16" t="str">
        <x:v>Home Check</x:v>
      </x:c>
      <x:c r="E21" s="16" t="str">
        <x:v>Frozen</x:v>
      </x:c>
      <x:c r="F21" s="16" t="str"/>
    </x:row>
    <x:row r="22" ht="16.799999237060547" hidden="0" customHeight="1">
      <x:c r="A22" s="16" t="str">
        <x:v>C-06</x:v>
      </x:c>
      <x:c r="B22" s="16" t="str">
        <x:v>holiday</x:v>
      </x:c>
      <x:c r="C22" s="16" t="str">
        <x:v>plane</x:v>
      </x:c>
      <x:c r="D22" s="16" t="str">
        <x:v>Holiday</x:v>
      </x:c>
      <x:c r="E22" s="16" t="str">
        <x:v>Frozen</x:v>
      </x:c>
      <x:c r="F22" s="16" t="str"/>
    </x:row>
    <x:row r="23" ht="16.799999237060547" hidden="0" customHeight="1">
      <x:c r="A23" s="16" t="str">
        <x:v>E-01</x:v>
      </x:c>
      <x:c r="B23" s="16" t="str">
        <x:v>mood</x:v>
      </x:c>
      <x:c r="C23" s="16" t="str">
        <x:v>palette</x:v>
      </x:c>
      <x:c r="D23" s="16" t="str">
        <x:v>Mood Lighting</x:v>
      </x:c>
      <x:c r="E23" s="16" t="str">
        <x:v>Frozen</x:v>
      </x:c>
      <x:c r="F23" s="16" t="str"/>
    </x:row>
    <x:row r="24" ht="16.799999237060547" hidden="0" customHeight="1">
      <x:c r="A24" s="16" t="str">
        <x:v>E-02</x:v>
      </x:c>
      <x:c r="B24" s="16" t="str">
        <x:v>climate</x:v>
      </x:c>
      <x:c r="C24" s="16" t="str">
        <x:v>thermometer</x:v>
      </x:c>
      <x:c r="D24" s="16" t="str">
        <x:v>Climate</x:v>
      </x:c>
      <x:c r="E24" s="16" t="str">
        <x:v>Frozen</x:v>
      </x:c>
      <x:c r="F24" s="16" t="str"/>
    </x:row>
    <x:row r="25" ht="16.799999237060547" hidden="0" customHeight="1">
      <x:c r="A25" s="16" t="str">
        <x:v>E-03</x:v>
      </x:c>
      <x:c r="B25" s="16" t="str">
        <x:v>healthy_air</x:v>
      </x:c>
      <x:c r="C25" s="16" t="str">
        <x:v>wind</x:v>
      </x:c>
      <x:c r="D25" s="16" t="str">
        <x:v>Healthy Air</x:v>
      </x:c>
      <x:c r="E25" s="16" t="str">
        <x:v>Frozen</x:v>
      </x:c>
      <x:c r="F25" s="16" t="str"/>
    </x:row>
    <x:row r="26" ht="16.799999237060547" hidden="0" customHeight="1">
      <x:c r="A26" s="16" t="str">
        <x:v>E-04</x:v>
      </x:c>
      <x:c r="B26" s="16" t="str">
        <x:v>garden</x:v>
      </x:c>
      <x:c r="C26" s="16" t="str">
        <x:v>sprout</x:v>
      </x:c>
      <x:c r="D26" s="16" t="str">
        <x:v>Garden Care</x:v>
      </x:c>
      <x:c r="E26" s="16" t="str">
        <x:v>Frozen</x:v>
      </x:c>
      <x:c r="F26" s="16" t="str"/>
    </x:row>
    <x:row r="27" ht="16.799999237060547" hidden="0" customHeight="1">
      <x:c r="A27" s="16" t="str">
        <x:v>E-05</x:v>
      </x:c>
      <x:c r="B27" s="16" t="str">
        <x:v>protection</x:v>
      </x:c>
      <x:c r="C27" s="16" t="str">
        <x:v>shield</x:v>
      </x:c>
      <x:c r="D27" s="16" t="str">
        <x:v>Protection Bonus</x:v>
      </x:c>
      <x:c r="E27" s="16" t="str">
        <x:v>Frozen</x:v>
      </x:c>
      <x:c r="F27" s="16" t="str"/>
    </x:row>
    <x:row r="28" ht="16.799999237060547" hidden="0" customHeight="1">
      <x:c r="A28" s="16" t="str">
        <x:v>E-06</x:v>
      </x:c>
      <x:c r="B28" s="16" t="str">
        <x:v>cctv</x:v>
      </x:c>
      <x:c r="C28" s="16" t="str">
        <x:v>camera</x:v>
      </x:c>
      <x:c r="D28" s="16" t="str">
        <x:v>CCTV</x:v>
      </x:c>
      <x:c r="E28" s="16" t="str">
        <x:v>Frozen</x:v>
      </x:c>
      <x:c r="F28" s="16" t="str"/>
    </x:row>
    <x:row r="29" ht="16.799999237060547" hidden="0" customHeight="1">
      <x:c r="A29" s="16" t="str">
        <x:v>E-07</x:v>
      </x:c>
      <x:c r="B29" s="16" t="str">
        <x:v>smart_toilet</x:v>
      </x:c>
      <x:c r="C29" s="16" t="str">
        <x:v>bath</x:v>
      </x:c>
      <x:c r="D29" s="16" t="str">
        <x:v>Smart Toilet</x:v>
      </x:c>
      <x:c r="E29" s="16" t="str">
        <x:v>Frozen</x:v>
      </x:c>
      <x:c r="F29" s="16" t="str"/>
    </x:row>
  </x:sheetData>
  <x:pageMargins left="0.7" right="0.7" top="0.75" bottom="0.75" header="0.3" footer="0.3"/>
  <x:tableParts count="1">
    <x:tablePart xmlns:r="http://schemas.openxmlformats.org/officeDocument/2006/relationships" r:id="R80bc018dee8e408d"/>
  </x:tableParts>
</x:worksheet>
</file>

<file path=xl/worksheets/sheet17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6" customWidth="1"/>
    <x:col min="3" max="4" width="44" customWidth="1"/>
    <x:col min="5" max="5" width="16" customWidth="1"/>
    <x:col min="6" max="6" width="50" customWidth="1"/>
  </x:cols>
  <x:sheetData>
    <x:row r="1" ht="16.799999237060547" hidden="0" customHeight="1">
      <x:c r="A1" s="17" t="str">
        <x:v>Product ID</x:v>
      </x:c>
      <x:c r="B1" s="17" t="str">
        <x:v>Image Type</x:v>
      </x:c>
      <x:c r="C1" s="17" t="str">
        <x:v>File Path</x:v>
      </x:c>
      <x:c r="D1" s="17" t="str">
        <x:v>Alt Text</x:v>
      </x:c>
      <x:c r="E1" s="17" t="str">
        <x:v>Status</x:v>
      </x:c>
      <x:c r="F1" s="17" t="str">
        <x:v>Notes</x:v>
      </x:c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Hero</x:v>
      </x:c>
      <x:c r="C2" s="16" t="str">
        <x:v>/assets/products/f-01/hero.jpg</x:v>
      </x:c>
      <x:c r="D2" s="16" t="str">
        <x:v>Foundation residential hero image</x:v>
      </x:c>
      <x:c r="E2" s="16" t="str">
        <x:v>Required</x:v>
      </x:c>
      <x:c r="F2" s="16" t="str">
        <x:v>Australian modern residential image; no technology UI overlays</x:v>
      </x:c>
    </x:row>
    <x:row r="3" ht="16.799999237060547" hidden="0" customHeight="1">
      <x:c r="A3" s="16" t="str">
        <x:v>C-01</x:v>
      </x:c>
      <x:c r="B3" s="16" t="str">
        <x:v>Hero</x:v>
      </x:c>
      <x:c r="C3" s="16" t="str">
        <x:v>/assets/products/c-01/hero.jpg</x:v>
      </x:c>
      <x:c r="D3" s="16" t="str">
        <x:v>Entry Collection residential hero image</x:v>
      </x:c>
      <x:c r="E3" s="16" t="str">
        <x:v>Required</x:v>
      </x:c>
      <x:c r="F3" s="16" t="str">
        <x:v>Australian modern residential image; no technology UI overlays</x:v>
      </x:c>
    </x:row>
    <x:row r="4" ht="16.799999237060547" hidden="0" customHeight="1">
      <x:c r="A4" s="16" t="str">
        <x:v>C-02</x:v>
      </x:c>
      <x:c r="B4" s="16" t="str">
        <x:v>Hero</x:v>
      </x:c>
      <x:c r="C4" s="16" t="str">
        <x:v>/assets/products/c-02/hero.jpg</x:v>
      </x:c>
      <x:c r="D4" s="16" t="str">
        <x:v>Living Collection residential hero image</x:v>
      </x:c>
      <x:c r="E4" s="16" t="str">
        <x:v>Required</x:v>
      </x:c>
      <x:c r="F4" s="16" t="str">
        <x:v>Australian modern residential image; no technology UI overlays</x:v>
      </x:c>
    </x:row>
    <x:row r="5" ht="16.799999237060547" hidden="0" customHeight="1">
      <x:c r="A5" s="16" t="str">
        <x:v>C-03</x:v>
      </x:c>
      <x:c r="B5" s="16" t="str">
        <x:v>Hero</x:v>
      </x:c>
      <x:c r="C5" s="16" t="str">
        <x:v>/assets/products/c-03/hero.jpg</x:v>
      </x:c>
      <x:c r="D5" s="16" t="str">
        <x:v>Kitchen Collection residential hero image</x:v>
      </x:c>
      <x:c r="E5" s="16" t="str">
        <x:v>Required</x:v>
      </x:c>
      <x:c r="F5" s="16" t="str">
        <x:v>Australian modern residential image; no technology UI overlays</x:v>
      </x:c>
    </x:row>
    <x:row r="6" ht="16.799999237060547" hidden="0" customHeight="1">
      <x:c r="A6" s="16" t="str">
        <x:v>C-04</x:v>
      </x:c>
      <x:c r="B6" s="16" t="str">
        <x:v>Hero</x:v>
      </x:c>
      <x:c r="C6" s="16" t="str">
        <x:v>/assets/products/c-04/hero.jpg</x:v>
      </x:c>
      <x:c r="D6" s="16" t="str">
        <x:v>Bedroom Collection residential hero image</x:v>
      </x:c>
      <x:c r="E6" s="16" t="str">
        <x:v>Required</x:v>
      </x:c>
      <x:c r="F6" s="16" t="str">
        <x:v>Australian modern residential image; no technology UI overlays</x:v>
      </x:c>
    </x:row>
    <x:row r="7" ht="16.799999237060547" hidden="0" customHeight="1">
      <x:c r="A7" s="16" t="str">
        <x:v>C-05</x:v>
      </x:c>
      <x:c r="B7" s="16" t="str">
        <x:v>Hero</x:v>
      </x:c>
      <x:c r="C7" s="16" t="str">
        <x:v>/assets/products/c-05/hero.jpg</x:v>
      </x:c>
      <x:c r="D7" s="16" t="str">
        <x:v>Bathroom Collection residential hero image</x:v>
      </x:c>
      <x:c r="E7" s="16" t="str">
        <x:v>Required</x:v>
      </x:c>
      <x:c r="F7" s="16" t="str">
        <x:v>Australian modern residential image; no technology UI overlays</x:v>
      </x:c>
    </x:row>
    <x:row r="8" ht="16.799999237060547" hidden="0" customHeight="1">
      <x:c r="A8" s="16" t="str">
        <x:v>C-06</x:v>
      </x:c>
      <x:c r="B8" s="16" t="str">
        <x:v>Hero</x:v>
      </x:c>
      <x:c r="C8" s="16" t="str">
        <x:v>/assets/products/c-06/hero.jpg</x:v>
      </x:c>
      <x:c r="D8" s="16" t="str">
        <x:v>Away Collection residential hero image</x:v>
      </x:c>
      <x:c r="E8" s="16" t="str">
        <x:v>Required</x:v>
      </x:c>
      <x:c r="F8" s="16" t="str">
        <x:v>Australian modern residential image; no technology UI overlays</x:v>
      </x:c>
    </x:row>
    <x:row r="9" ht="16.799999237060547" hidden="0" customHeight="1">
      <x:c r="A9" s="16" t="str">
        <x:v>E-01</x:v>
      </x:c>
      <x:c r="B9" s="16" t="str">
        <x:v>Hero</x:v>
      </x:c>
      <x:c r="C9" s="16" t="str">
        <x:v>/assets/products/e-01/hero.jpg</x:v>
      </x:c>
      <x:c r="D9" s="16" t="str">
        <x:v>Mood Lighting residential hero image</x:v>
      </x:c>
      <x:c r="E9" s="16" t="str">
        <x:v>Required</x:v>
      </x:c>
      <x:c r="F9" s="16" t="str">
        <x:v>Australian modern residential image; no technology UI overlays</x:v>
      </x:c>
    </x:row>
    <x:row r="10" ht="16.799999237060547" hidden="0" customHeight="1">
      <x:c r="A10" s="16" t="str">
        <x:v>E-02</x:v>
      </x:c>
      <x:c r="B10" s="16" t="str">
        <x:v>Hero</x:v>
      </x:c>
      <x:c r="C10" s="16" t="str">
        <x:v>/assets/products/e-02/hero.jpg</x:v>
      </x:c>
      <x:c r="D10" s="16" t="str">
        <x:v>Climate residential hero image</x:v>
      </x:c>
      <x:c r="E10" s="16" t="str">
        <x:v>Required</x:v>
      </x:c>
      <x:c r="F10" s="16" t="str">
        <x:v>Australian modern residential image; no technology UI overlays</x:v>
      </x:c>
    </x:row>
    <x:row r="11" ht="16.799999237060547" hidden="0" customHeight="1">
      <x:c r="A11" s="16" t="str">
        <x:v>E-03</x:v>
      </x:c>
      <x:c r="B11" s="16" t="str">
        <x:v>Hero</x:v>
      </x:c>
      <x:c r="C11" s="16" t="str">
        <x:v>/assets/products/e-03/hero.jpg</x:v>
      </x:c>
      <x:c r="D11" s="16" t="str">
        <x:v>Healthy Air residential hero image</x:v>
      </x:c>
      <x:c r="E11" s="16" t="str">
        <x:v>Required</x:v>
      </x:c>
      <x:c r="F11" s="16" t="str">
        <x:v>Australian modern residential image; no technology UI overlays</x:v>
      </x:c>
    </x:row>
    <x:row r="12" ht="16.799999237060547" hidden="0" customHeight="1">
      <x:c r="A12" s="16" t="str">
        <x:v>E-04</x:v>
      </x:c>
      <x:c r="B12" s="16" t="str">
        <x:v>Hero</x:v>
      </x:c>
      <x:c r="C12" s="16" t="str">
        <x:v>/assets/products/e-04/hero.jpg</x:v>
      </x:c>
      <x:c r="D12" s="16" t="str">
        <x:v>Garden Care residential hero image</x:v>
      </x:c>
      <x:c r="E12" s="16" t="str">
        <x:v>Required</x:v>
      </x:c>
      <x:c r="F12" s="16" t="str">
        <x:v>Australian modern residential image; no technology UI overlays</x:v>
      </x:c>
    </x:row>
    <x:row r="13" ht="16.799999237060547" hidden="0" customHeight="1">
      <x:c r="A13" s="16" t="str">
        <x:v>E-06</x:v>
      </x:c>
      <x:c r="B13" s="16" t="str">
        <x:v>Hero</x:v>
      </x:c>
      <x:c r="C13" s="16" t="str">
        <x:v>/assets/products/e-06/hero.jpg</x:v>
      </x:c>
      <x:c r="D13" s="16" t="str">
        <x:v>CCTV residential hero image</x:v>
      </x:c>
      <x:c r="E13" s="16" t="str">
        <x:v>Required</x:v>
      </x:c>
      <x:c r="F13" s="16" t="str">
        <x:v>Australian modern residential image; no technology UI overlays</x:v>
      </x:c>
    </x:row>
    <x:row r="14" ht="16.799999237060547" hidden="0" customHeight="1">
      <x:c r="A14" s="16" t="str">
        <x:v>E-07</x:v>
      </x:c>
      <x:c r="B14" s="16" t="str">
        <x:v>Hero</x:v>
      </x:c>
      <x:c r="C14" s="16" t="str">
        <x:v>/assets/products/e-07/hero.jpg</x:v>
      </x:c>
      <x:c r="D14" s="16" t="str">
        <x:v>Smart Toilet residential hero image</x:v>
      </x:c>
      <x:c r="E14" s="16" t="str">
        <x:v>Required</x:v>
      </x:c>
      <x:c r="F14" s="16" t="str">
        <x:v>Australian modern residential image; no technology UI overlays</x:v>
      </x:c>
    </x:row>
  </x:sheetData>
  <x:pageMargins left="0.7" right="0.7" top="0.75" bottom="0.75" header="0.3" footer="0.3"/>
  <x:tableParts count="1">
    <x:tablePart xmlns:r="http://schemas.openxmlformats.org/officeDocument/2006/relationships" r:id="Rce8ac01219e940eb"/>
  </x:tableParts>
</x:worksheet>
</file>

<file path=xl/worksheets/sheet18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6" customWidth="1"/>
    <x:col min="3" max="3" width="18" customWidth="1"/>
    <x:col min="4" max="4" width="16" customWidth="1"/>
    <x:col min="5" max="5" width="24" customWidth="1"/>
    <x:col min="6" max="6" width="14" customWidth="1"/>
    <x:col min="7" max="7" width="42" customWidth="1"/>
  </x:cols>
  <x:sheetData>
    <x:row r="1" ht="16.799999237060547" hidden="0" customHeight="1">
      <x:c r="A1" s="17" t="str">
        <x:v>Product ID</x:v>
      </x:c>
      <x:c r="B1" s="17" t="str">
        <x:v>Accent Colour</x:v>
      </x:c>
      <x:c r="C1" s="17" t="str">
        <x:v>Background Colour</x:v>
      </x:c>
      <x:c r="D1" s="17" t="str">
        <x:v>Text Colour</x:v>
      </x:c>
      <x:c r="E1" s="17" t="str">
        <x:v>Theme Name</x:v>
      </x:c>
      <x:c r="F1" s="17" t="str">
        <x:v>Status</x:v>
      </x:c>
      <x:c r="G1" s="17" t="str">
        <x:v>Notes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#4B5563</x:v>
      </x:c>
      <x:c r="C2" s="16" t="str">
        <x:v>#F7F5F2</x:v>
      </x:c>
      <x:c r="D2" s="16" t="str">
        <x:v>#3A3A3A</x:v>
      </x:c>
      <x:c r="E2" s="16" t="str">
        <x:v>Foundation</x:v>
      </x:c>
      <x:c r="F2" s="16" t="str">
        <x:v>Frozen</x:v>
      </x:c>
      <x:c r="G2" s="16" t="str">
        <x:v>V2.06 unified warm-neutral system</x:v>
      </x:c>
    </x:row>
    <x:row r="3" ht="16.799999237060547" hidden="0" customHeight="1">
      <x:c r="A3" s="16" t="str">
        <x:v>C-01</x:v>
      </x:c>
      <x:c r="B3" s="16" t="str">
        <x:v>#B68A4A</x:v>
      </x:c>
      <x:c r="C3" s="16" t="str">
        <x:v>#F7F5F2</x:v>
      </x:c>
      <x:c r="D3" s="16" t="str">
        <x:v>#3A3A3A</x:v>
      </x:c>
      <x:c r="E3" s="16" t="str">
        <x:v>Entry Collection</x:v>
      </x:c>
      <x:c r="F3" s="16" t="str">
        <x:v>Frozen</x:v>
      </x:c>
      <x:c r="G3" s="16" t="str">
        <x:v>V2.06 unified warm-neutral system</x:v>
      </x:c>
    </x:row>
    <x:row r="4" ht="16.799999237060547" hidden="0" customHeight="1">
      <x:c r="A4" s="16" t="str">
        <x:v>C-02</x:v>
      </x:c>
      <x:c r="B4" s="16" t="str">
        <x:v>#6C7A5C</x:v>
      </x:c>
      <x:c r="C4" s="16" t="str">
        <x:v>#F7F5F2</x:v>
      </x:c>
      <x:c r="D4" s="16" t="str">
        <x:v>#3A3A3A</x:v>
      </x:c>
      <x:c r="E4" s="16" t="str">
        <x:v>Living Collection</x:v>
      </x:c>
      <x:c r="F4" s="16" t="str">
        <x:v>Frozen</x:v>
      </x:c>
      <x:c r="G4" s="16" t="str">
        <x:v>V2.06 unified warm-neutral system</x:v>
      </x:c>
    </x:row>
    <x:row r="5" ht="16.799999237060547" hidden="0" customHeight="1">
      <x:c r="A5" s="16" t="str">
        <x:v>C-03</x:v>
      </x:c>
      <x:c r="B5" s="16" t="str">
        <x:v>#9A7B4F</x:v>
      </x:c>
      <x:c r="C5" s="16" t="str">
        <x:v>#F7F5F2</x:v>
      </x:c>
      <x:c r="D5" s="16" t="str">
        <x:v>#3A3A3A</x:v>
      </x:c>
      <x:c r="E5" s="16" t="str">
        <x:v>Kitchen Collection</x:v>
      </x:c>
      <x:c r="F5" s="16" t="str">
        <x:v>Frozen</x:v>
      </x:c>
      <x:c r="G5" s="16" t="str">
        <x:v>V2.06 unified warm-neutral system</x:v>
      </x:c>
    </x:row>
    <x:row r="6" ht="16.799999237060547" hidden="0" customHeight="1">
      <x:c r="A6" s="16" t="str">
        <x:v>C-04</x:v>
      </x:c>
      <x:c r="B6" s="16" t="str">
        <x:v>#4D6073</x:v>
      </x:c>
      <x:c r="C6" s="16" t="str">
        <x:v>#F7F5F2</x:v>
      </x:c>
      <x:c r="D6" s="16" t="str">
        <x:v>#3A3A3A</x:v>
      </x:c>
      <x:c r="E6" s="16" t="str">
        <x:v>Bedroom Collection</x:v>
      </x:c>
      <x:c r="F6" s="16" t="str">
        <x:v>Frozen</x:v>
      </x:c>
      <x:c r="G6" s="16" t="str">
        <x:v>V2.06 unified warm-neutral system</x:v>
      </x:c>
    </x:row>
    <x:row r="7" ht="16.799999237060547" hidden="0" customHeight="1">
      <x:c r="A7" s="16" t="str">
        <x:v>C-05</x:v>
      </x:c>
      <x:c r="B7" s="16" t="str">
        <x:v>#6E8F9C</x:v>
      </x:c>
      <x:c r="C7" s="16" t="str">
        <x:v>#F7F5F2</x:v>
      </x:c>
      <x:c r="D7" s="16" t="str">
        <x:v>#3A3A3A</x:v>
      </x:c>
      <x:c r="E7" s="16" t="str">
        <x:v>Bathroom Collection</x:v>
      </x:c>
      <x:c r="F7" s="16" t="str">
        <x:v>Frozen</x:v>
      </x:c>
      <x:c r="G7" s="16" t="str">
        <x:v>V2.06 unified warm-neutral system</x:v>
      </x:c>
    </x:row>
    <x:row r="8" ht="16.799999237060547" hidden="0" customHeight="1">
      <x:c r="A8" s="16" t="str">
        <x:v>C-06</x:v>
      </x:c>
      <x:c r="B8" s="16" t="str">
        <x:v>#475569</x:v>
      </x:c>
      <x:c r="C8" s="16" t="str">
        <x:v>#F7F5F2</x:v>
      </x:c>
      <x:c r="D8" s="16" t="str">
        <x:v>#3A3A3A</x:v>
      </x:c>
      <x:c r="E8" s="16" t="str">
        <x:v>Away Collection</x:v>
      </x:c>
      <x:c r="F8" s="16" t="str">
        <x:v>Frozen</x:v>
      </x:c>
      <x:c r="G8" s="16" t="str">
        <x:v>V2.06 unified warm-neutral system</x:v>
      </x:c>
    </x:row>
    <x:row r="9" ht="16.799999237060547" hidden="0" customHeight="1">
      <x:c r="A9" s="16" t="str">
        <x:v>E-01</x:v>
      </x:c>
      <x:c r="B9" s="16" t="str">
        <x:v>#7C3AED</x:v>
      </x:c>
      <x:c r="C9" s="16" t="str">
        <x:v>#F7F5F2</x:v>
      </x:c>
      <x:c r="D9" s="16" t="str">
        <x:v>#3A3A3A</x:v>
      </x:c>
      <x:c r="E9" s="16" t="str">
        <x:v>Mood Lighting</x:v>
      </x:c>
      <x:c r="F9" s="16" t="str">
        <x:v>Frozen</x:v>
      </x:c>
      <x:c r="G9" s="16" t="str">
        <x:v>V2.06 unified warm-neutral system</x:v>
      </x:c>
    </x:row>
    <x:row r="10" ht="16.799999237060547" hidden="0" customHeight="1">
      <x:c r="A10" s="16" t="str">
        <x:v>E-02</x:v>
      </x:c>
      <x:c r="B10" s="16" t="str">
        <x:v>#64748B</x:v>
      </x:c>
      <x:c r="C10" s="16" t="str">
        <x:v>#F7F5F2</x:v>
      </x:c>
      <x:c r="D10" s="16" t="str">
        <x:v>#3A3A3A</x:v>
      </x:c>
      <x:c r="E10" s="16" t="str">
        <x:v>Climate</x:v>
      </x:c>
      <x:c r="F10" s="16" t="str">
        <x:v>Frozen</x:v>
      </x:c>
      <x:c r="G10" s="16" t="str">
        <x:v>V2.06 unified warm-neutral system</x:v>
      </x:c>
    </x:row>
    <x:row r="11" ht="16.799999237060547" hidden="0" customHeight="1">
      <x:c r="A11" s="16" t="str">
        <x:v>E-03</x:v>
      </x:c>
      <x:c r="B11" s="16" t="str">
        <x:v>#0F766E</x:v>
      </x:c>
      <x:c r="C11" s="16" t="str">
        <x:v>#F7F5F2</x:v>
      </x:c>
      <x:c r="D11" s="16" t="str">
        <x:v>#3A3A3A</x:v>
      </x:c>
      <x:c r="E11" s="16" t="str">
        <x:v>Healthy Air</x:v>
      </x:c>
      <x:c r="F11" s="16" t="str">
        <x:v>Frozen</x:v>
      </x:c>
      <x:c r="G11" s="16" t="str">
        <x:v>V2.06 unified warm-neutral system</x:v>
      </x:c>
    </x:row>
    <x:row r="12" ht="16.799999237060547" hidden="0" customHeight="1">
      <x:c r="A12" s="16" t="str">
        <x:v>E-04</x:v>
      </x:c>
      <x:c r="B12" s="16" t="str">
        <x:v>#4D7C0F</x:v>
      </x:c>
      <x:c r="C12" s="16" t="str">
        <x:v>#F7F5F2</x:v>
      </x:c>
      <x:c r="D12" s="16" t="str">
        <x:v>#3A3A3A</x:v>
      </x:c>
      <x:c r="E12" s="16" t="str">
        <x:v>Garden Care</x:v>
      </x:c>
      <x:c r="F12" s="16" t="str">
        <x:v>Frozen</x:v>
      </x:c>
      <x:c r="G12" s="16" t="str">
        <x:v>V2.06 unified warm-neutral system</x:v>
      </x:c>
    </x:row>
    <x:row r="13" ht="16.799999237060547" hidden="0" customHeight="1">
      <x:c r="A13" s="16" t="str">
        <x:v>E-05</x:v>
      </x:c>
      <x:c r="B13" s="16" t="str">
        <x:v>#334155</x:v>
      </x:c>
      <x:c r="C13" s="16" t="str">
        <x:v>#F7F5F2</x:v>
      </x:c>
      <x:c r="D13" s="16" t="str">
        <x:v>#3A3A3A</x:v>
      </x:c>
      <x:c r="E13" s="16" t="str">
        <x:v>Protection Bonus</x:v>
      </x:c>
      <x:c r="F13" s="16" t="str">
        <x:v>Frozen</x:v>
      </x:c>
      <x:c r="G13" s="16" t="str">
        <x:v>V2.06 unified warm-neutral system</x:v>
      </x:c>
    </x:row>
    <x:row r="14" ht="16.799999237060547" hidden="0" customHeight="1">
      <x:c r="A14" s="16" t="str">
        <x:v>E-06</x:v>
      </x:c>
      <x:c r="B14" s="16" t="str">
        <x:v>#1F2937</x:v>
      </x:c>
      <x:c r="C14" s="16" t="str">
        <x:v>#F7F5F2</x:v>
      </x:c>
      <x:c r="D14" s="16" t="str">
        <x:v>#3A3A3A</x:v>
      </x:c>
      <x:c r="E14" s="16" t="str">
        <x:v>CCTV</x:v>
      </x:c>
      <x:c r="F14" s="16" t="str">
        <x:v>Frozen</x:v>
      </x:c>
      <x:c r="G14" s="16" t="str">
        <x:v>V2.06 unified warm-neutral system</x:v>
      </x:c>
    </x:row>
    <x:row r="15" ht="16.799999237060547" hidden="0" customHeight="1">
      <x:c r="A15" s="16" t="str">
        <x:v>E-07</x:v>
      </x:c>
      <x:c r="B15" s="16" t="str">
        <x:v>#0891B2</x:v>
      </x:c>
      <x:c r="C15" s="16" t="str">
        <x:v>#F7F5F2</x:v>
      </x:c>
      <x:c r="D15" s="16" t="str">
        <x:v>#3A3A3A</x:v>
      </x:c>
      <x:c r="E15" s="16" t="str">
        <x:v>Smart Toilet</x:v>
      </x:c>
      <x:c r="F15" s="16" t="str">
        <x:v>Frozen</x:v>
      </x:c>
      <x:c r="G15" s="16" t="str">
        <x:v>V2.06 unified warm-neutral system</x:v>
      </x:c>
    </x:row>
  </x:sheetData>
  <x:pageMargins left="0.7" right="0.7" top="0.75" bottom="0.75" header="0.3" footer="0.3"/>
  <x:tableParts count="1">
    <x:tablePart xmlns:r="http://schemas.openxmlformats.org/officeDocument/2006/relationships" r:id="R21726e91999a4fd4"/>
  </x:tableParts>
</x:worksheet>
</file>

<file path=xl/worksheets/sheet19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24" customWidth="1"/>
    <x:col min="3" max="3" width="18" customWidth="1"/>
    <x:col min="4" max="4" width="20" customWidth="1"/>
    <x:col min="5" max="5" width="12" customWidth="1"/>
    <x:col min="6" max="6" width="14" customWidth="1"/>
    <x:col min="7" max="7" width="26" customWidth="1"/>
    <x:col min="8" max="8" width="14" customWidth="1"/>
    <x:col min="9" max="9" width="40" customWidth="1"/>
  </x:cols>
  <x:sheetData>
    <x:row r="1" ht="26.399999618530273" hidden="0" customHeight="1">
      <x:c r="A1" s="17" t="str">
        <x:v>Product ID</x:v>
      </x:c>
      <x:c r="B1" s="17" t="str">
        <x:v>Template</x:v>
      </x:c>
      <x:c r="C1" s="17" t="str">
        <x:v>Front Moments Count</x:v>
      </x:c>
      <x:c r="D1" s="17" t="str">
        <x:v>Back Experiences Count</x:v>
      </x:c>
      <x:c r="E1" s="17" t="str">
        <x:v>Show Price</x:v>
      </x:c>
      <x:c r="F1" s="17" t="str">
        <x:v>Show Included</x:v>
      </x:c>
      <x:c r="G1" s="17" t="str">
        <x:v>Show Compatible Experience Packs</x:v>
      </x:c>
      <x:c r="H1" s="17" t="str">
        <x:v>Status</x:v>
      </x:c>
      <x:c r="I1" s="17" t="str">
        <x:v>Notes</x:v>
      </x:c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F-01</x:v>
      </x:c>
      <x:c r="B2" s="16" t="str">
        <x:v>FoundationCard_V2</x:v>
      </x:c>
      <x:c r="C2" s="16" t="n">
        <x:v>4</x:v>
      </x:c>
      <x:c r="D2" s="16" t="n">
        <x:v>2</x:v>
      </x:c>
      <x:c r="E2" s="26" t="b">
        <x:v>1</x:v>
      </x:c>
      <x:c r="F2" s="26" t="b">
        <x:v>1</x:v>
      </x:c>
      <x:c r="G2" s="26" t="b">
        <x:v>0</x:v>
      </x:c>
      <x:c r="H2" s="16" t="str">
        <x:v>Frozen</x:v>
      </x:c>
      <x:c r="I2" s="16" t="str">
        <x:v>A4 front emotional; back rational confirmation</x:v>
      </x:c>
    </x:row>
    <x:row r="3" ht="16.799999237060547" hidden="0" customHeight="1">
      <x:c r="A3" s="16" t="str">
        <x:v>C-01</x:v>
      </x:c>
      <x:c r="B3" s="16" t="str">
        <x:v>CollectionCard_V2</x:v>
      </x:c>
      <x:c r="C3" s="16" t="n">
        <x:v>4</x:v>
      </x:c>
      <x:c r="D3" s="16" t="n">
        <x:v>4</x:v>
      </x:c>
      <x:c r="E3" s="26" t="b">
        <x:v>1</x:v>
      </x:c>
      <x:c r="F3" s="26" t="b">
        <x:v>1</x:v>
      </x:c>
      <x:c r="G3" s="26" t="b">
        <x:v>1</x:v>
      </x:c>
      <x:c r="H3" s="16" t="str">
        <x:v>Frozen</x:v>
      </x:c>
      <x:c r="I3" s="16" t="str">
        <x:v>A4 front emotional; back rational confirmation</x:v>
      </x:c>
    </x:row>
    <x:row r="4" ht="16.799999237060547" hidden="0" customHeight="1">
      <x:c r="A4" s="16" t="str">
        <x:v>C-02</x:v>
      </x:c>
      <x:c r="B4" s="16" t="str">
        <x:v>CollectionCard_V2</x:v>
      </x:c>
      <x:c r="C4" s="16" t="n">
        <x:v>4</x:v>
      </x:c>
      <x:c r="D4" s="16" t="n">
        <x:v>5</x:v>
      </x:c>
      <x:c r="E4" s="26" t="b">
        <x:v>1</x:v>
      </x:c>
      <x:c r="F4" s="26" t="b">
        <x:v>1</x:v>
      </x:c>
      <x:c r="G4" s="26" t="b">
        <x:v>1</x:v>
      </x:c>
      <x:c r="H4" s="16" t="str">
        <x:v>Frozen</x:v>
      </x:c>
      <x:c r="I4" s="16" t="str">
        <x:v>A4 front emotional; back rational confirmation</x:v>
      </x:c>
    </x:row>
    <x:row r="5" ht="16.799999237060547" hidden="0" customHeight="1">
      <x:c r="A5" s="16" t="str">
        <x:v>C-03</x:v>
      </x:c>
      <x:c r="B5" s="16" t="str">
        <x:v>CollectionCard_V2</x:v>
      </x:c>
      <x:c r="C5" s="16" t="n">
        <x:v>4</x:v>
      </x:c>
      <x:c r="D5" s="16" t="n">
        <x:v>4</x:v>
      </x:c>
      <x:c r="E5" s="26" t="b">
        <x:v>1</x:v>
      </x:c>
      <x:c r="F5" s="26" t="b">
        <x:v>1</x:v>
      </x:c>
      <x:c r="G5" s="26" t="b">
        <x:v>1</x:v>
      </x:c>
      <x:c r="H5" s="16" t="str">
        <x:v>Frozen</x:v>
      </x:c>
      <x:c r="I5" s="16" t="str">
        <x:v>A4 front emotional; back rational confirmation</x:v>
      </x:c>
    </x:row>
    <x:row r="6" ht="16.799999237060547" hidden="0" customHeight="1">
      <x:c r="A6" s="16" t="str">
        <x:v>C-04</x:v>
      </x:c>
      <x:c r="B6" s="16" t="str">
        <x:v>CollectionCard_V2</x:v>
      </x:c>
      <x:c r="C6" s="16" t="n">
        <x:v>4</x:v>
      </x:c>
      <x:c r="D6" s="16" t="n">
        <x:v>4</x:v>
      </x:c>
      <x:c r="E6" s="26" t="b">
        <x:v>1</x:v>
      </x:c>
      <x:c r="F6" s="26" t="b">
        <x:v>1</x:v>
      </x:c>
      <x:c r="G6" s="26" t="b">
        <x:v>1</x:v>
      </x:c>
      <x:c r="H6" s="16" t="str">
        <x:v>Frozen</x:v>
      </x:c>
      <x:c r="I6" s="16" t="str">
        <x:v>A4 front emotional; back rational confirmation</x:v>
      </x:c>
    </x:row>
    <x:row r="7" ht="16.799999237060547" hidden="0" customHeight="1">
      <x:c r="A7" s="16" t="str">
        <x:v>C-05</x:v>
      </x:c>
      <x:c r="B7" s="16" t="str">
        <x:v>CollectionCard_V2</x:v>
      </x:c>
      <x:c r="C7" s="16" t="n">
        <x:v>4</x:v>
      </x:c>
      <x:c r="D7" s="16" t="n">
        <x:v>3</x:v>
      </x:c>
      <x:c r="E7" s="26" t="b">
        <x:v>1</x:v>
      </x:c>
      <x:c r="F7" s="26" t="b">
        <x:v>1</x:v>
      </x:c>
      <x:c r="G7" s="26" t="b">
        <x:v>1</x:v>
      </x:c>
      <x:c r="H7" s="16" t="str">
        <x:v>Frozen</x:v>
      </x:c>
      <x:c r="I7" s="16" t="str">
        <x:v>A4 front emotional; back rational confirmation</x:v>
      </x:c>
    </x:row>
    <x:row r="8" ht="16.799999237060547" hidden="0" customHeight="1">
      <x:c r="A8" s="16" t="str">
        <x:v>C-06</x:v>
      </x:c>
      <x:c r="B8" s="16" t="str">
        <x:v>CollectionCard_V2</x:v>
      </x:c>
      <x:c r="C8" s="16" t="n">
        <x:v>4</x:v>
      </x:c>
      <x:c r="D8" s="16" t="n">
        <x:v>4</x:v>
      </x:c>
      <x:c r="E8" s="26" t="b">
        <x:v>1</x:v>
      </x:c>
      <x:c r="F8" s="26" t="b">
        <x:v>1</x:v>
      </x:c>
      <x:c r="G8" s="26" t="b">
        <x:v>0</x:v>
      </x:c>
      <x:c r="H8" s="16" t="str">
        <x:v>Frozen</x:v>
      </x:c>
      <x:c r="I8" s="16" t="str">
        <x:v>A4 front emotional; back rational confirmation</x:v>
      </x:c>
    </x:row>
    <x:row r="9" ht="16.799999237060547" hidden="0" customHeight="1">
      <x:c r="A9" s="16" t="str">
        <x:v>E-01</x:v>
      </x:c>
      <x:c r="B9" s="16" t="str">
        <x:v>ExperienceCard_V2</x:v>
      </x:c>
      <x:c r="C9" s="16" t="n">
        <x:v>4</x:v>
      </x:c>
      <x:c r="D9" s="16" t="n">
        <x:v>3</x:v>
      </x:c>
      <x:c r="E9" s="26" t="b">
        <x:v>1</x:v>
      </x:c>
      <x:c r="F9" s="26" t="b">
        <x:v>1</x:v>
      </x:c>
      <x:c r="G9" s="26" t="b">
        <x:v>0</x:v>
      </x:c>
      <x:c r="H9" s="16" t="str">
        <x:v>Frozen</x:v>
      </x:c>
      <x:c r="I9" s="16" t="str">
        <x:v>A4 front emotional; back rational confirmation</x:v>
      </x:c>
    </x:row>
    <x:row r="10" ht="16.799999237060547" hidden="0" customHeight="1">
      <x:c r="A10" s="16" t="str">
        <x:v>E-02</x:v>
      </x:c>
      <x:c r="B10" s="16" t="str">
        <x:v>ExperienceCard_V2</x:v>
      </x:c>
      <x:c r="C10" s="16" t="n">
        <x:v>4</x:v>
      </x:c>
      <x:c r="D10" s="16" t="n">
        <x:v>2</x:v>
      </x:c>
      <x:c r="E10" s="26" t="b">
        <x:v>1</x:v>
      </x:c>
      <x:c r="F10" s="26" t="b">
        <x:v>1</x:v>
      </x:c>
      <x:c r="G10" s="26" t="b">
        <x:v>0</x:v>
      </x:c>
      <x:c r="H10" s="16" t="str">
        <x:v>Frozen</x:v>
      </x:c>
      <x:c r="I10" s="16" t="str">
        <x:v>A4 front emotional; back rational confirmation</x:v>
      </x:c>
    </x:row>
    <x:row r="11" ht="16.799999237060547" hidden="0" customHeight="1">
      <x:c r="A11" s="16" t="str">
        <x:v>E-03</x:v>
      </x:c>
      <x:c r="B11" s="16" t="str">
        <x:v>ExperienceCard_V2</x:v>
      </x:c>
      <x:c r="C11" s="16" t="n">
        <x:v>4</x:v>
      </x:c>
      <x:c r="D11" s="16" t="n">
        <x:v>3</x:v>
      </x:c>
      <x:c r="E11" s="26" t="b">
        <x:v>1</x:v>
      </x:c>
      <x:c r="F11" s="26" t="b">
        <x:v>1</x:v>
      </x:c>
      <x:c r="G11" s="26" t="b">
        <x:v>0</x:v>
      </x:c>
      <x:c r="H11" s="16" t="str">
        <x:v>Frozen</x:v>
      </x:c>
      <x:c r="I11" s="16" t="str">
        <x:v>A4 front emotional; back rational confirmation</x:v>
      </x:c>
    </x:row>
    <x:row r="12" ht="16.799999237060547" hidden="0" customHeight="1">
      <x:c r="A12" s="16" t="str">
        <x:v>E-04</x:v>
      </x:c>
      <x:c r="B12" s="16" t="str">
        <x:v>ExperienceCard_V2</x:v>
      </x:c>
      <x:c r="C12" s="16" t="n">
        <x:v>4</x:v>
      </x:c>
      <x:c r="D12" s="16" t="n">
        <x:v>3</x:v>
      </x:c>
      <x:c r="E12" s="26" t="b">
        <x:v>1</x:v>
      </x:c>
      <x:c r="F12" s="26" t="b">
        <x:v>1</x:v>
      </x:c>
      <x:c r="G12" s="26" t="b">
        <x:v>0</x:v>
      </x:c>
      <x:c r="H12" s="16" t="str">
        <x:v>Frozen</x:v>
      </x:c>
      <x:c r="I12" s="16" t="str">
        <x:v>A4 front emotional; back rational confirmation</x:v>
      </x:c>
    </x:row>
    <x:row r="13" ht="16.799999237060547" hidden="0" customHeight="1">
      <x:c r="A13" s="16" t="str">
        <x:v>E-06</x:v>
      </x:c>
      <x:c r="B13" s="16" t="str">
        <x:v>ExperienceCard_V2</x:v>
      </x:c>
      <x:c r="C13" s="16" t="n">
        <x:v>4</x:v>
      </x:c>
      <x:c r="D13" s="16" t="n">
        <x:v>4</x:v>
      </x:c>
      <x:c r="E13" s="26" t="b">
        <x:v>1</x:v>
      </x:c>
      <x:c r="F13" s="26" t="b">
        <x:v>1</x:v>
      </x:c>
      <x:c r="G13" s="26" t="b">
        <x:v>0</x:v>
      </x:c>
      <x:c r="H13" s="16" t="str">
        <x:v>Frozen</x:v>
      </x:c>
      <x:c r="I13" s="16" t="str">
        <x:v>A4 front emotional; back rational confirmation</x:v>
      </x:c>
    </x:row>
    <x:row r="14" ht="16.799999237060547" hidden="0" customHeight="1">
      <x:c r="A14" s="16" t="str">
        <x:v>E-07</x:v>
      </x:c>
      <x:c r="B14" s="16" t="str">
        <x:v>StandaloneProductCard_V2</x:v>
      </x:c>
      <x:c r="C14" s="16" t="n">
        <x:v>4</x:v>
      </x:c>
      <x:c r="D14" s="16" t="n">
        <x:v>4</x:v>
      </x:c>
      <x:c r="E14" s="26" t="b">
        <x:v>1</x:v>
      </x:c>
      <x:c r="F14" s="26" t="b">
        <x:v>1</x:v>
      </x:c>
      <x:c r="G14" s="26" t="b">
        <x:v>0</x:v>
      </x:c>
      <x:c r="H14" s="16" t="str">
        <x:v>Frozen</x:v>
      </x:c>
      <x:c r="I14" s="16" t="str">
        <x:v>Show supply-only price and installation exclusions</x:v>
      </x:c>
    </x:row>
  </x:sheetData>
  <x:pageMargins left="0.7" right="0.7" top="0.75" bottom="0.75" header="0.3" footer="0.3"/>
  <x:tableParts count="1">
    <x:tablePart xmlns:r="http://schemas.openxmlformats.org/officeDocument/2006/relationships" r:id="R05b1204e446e4fca"/>
  </x:tableParts>
</x:worksheet>
</file>

<file path=xl/worksheets/sheet20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28" customWidth="1"/>
    <x:col min="3" max="3" width="34" customWidth="1"/>
    <x:col min="4" max="4" width="24" customWidth="1"/>
    <x:col min="5" max="5" width="58" customWidth="1"/>
    <x:col min="6" max="6" width="14" customWidth="1"/>
    <x:col min="7" max="7" width="44" customWidth="1"/>
  </x:cols>
  <x:sheetData>
    <x:row r="1" ht="16.799999237060547" hidden="0" customHeight="1">
      <x:c r="A1" s="17" t="str">
        <x:v>Product ID</x:v>
      </x:c>
      <x:c r="B1" s="17" t="str">
        <x:v>Automation Name</x:v>
      </x:c>
      <x:c r="C1" s="17" t="str">
        <x:v>Trigger</x:v>
      </x:c>
      <x:c r="D1" s="17" t="str">
        <x:v>Condition</x:v>
      </x:c>
      <x:c r="E1" s="17" t="str">
        <x:v>Action</x:v>
      </x:c>
      <x:c r="F1" s="17" t="str">
        <x:v>Status</x:v>
      </x:c>
      <x:c r="G1" s="17" t="str">
        <x:v>Notes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6.799999237060547" hidden="0" customHeight="1">
      <x:c r="A2" s="16" t="str">
        <x:v>C-01</x:v>
      </x:c>
      <x:c r="B2" s="16" t="str">
        <x:v>Outdoor Welcome</x:v>
      </x:c>
      <x:c r="C2" s="16" t="str">
        <x:v>Outdoor PIR motion</x:v>
      </x:c>
      <x:c r="D2" s="16" t="str">
        <x:v>After dark</x:v>
      </x:c>
      <x:c r="E2" s="16" t="str">
        <x:v>Selected entry lights on for timed welcome</x:v>
      </x:c>
      <x:c r="F2" s="16" t="str">
        <x:v>Frozen</x:v>
      </x:c>
      <x:c r="G2" s="16" t="str">
        <x:v>No doorbell dependency</x:v>
      </x:c>
    </x:row>
    <x:row r="3" ht="16.799999237060547" hidden="0" customHeight="1">
      <x:c r="A3" s="16" t="str">
        <x:v>C-01</x:v>
      </x:c>
      <x:c r="B3" s="16" t="str">
        <x:v>Indoor Welcome</x:v>
      </x:c>
      <x:c r="C3" s="16" t="str">
        <x:v>Indoor occupancy</x:v>
      </x:c>
      <x:c r="D3" s="16" t="str">
        <x:v>After dark</x:v>
      </x:c>
      <x:c r="E3" s="16" t="str">
        <x:v>Hall lighting on; settle after vacancy</x:v>
      </x:c>
      <x:c r="F3" s="16" t="str">
        <x:v>Frozen</x:v>
      </x:c>
      <x:c r="G3" s="16" t="str">
        <x:v>No smart lock dependency</x:v>
      </x:c>
    </x:row>
    <x:row r="4" ht="16.799999237060547" hidden="0" customHeight="1">
      <x:c r="A4" s="16" t="str">
        <x:v>C-02</x:v>
      </x:c>
      <x:c r="B4" s="16" t="str">
        <x:v>Lights Follow You</x:v>
      </x:c>
      <x:c r="C4" s="16" t="str">
        <x:v>Occupancy change</x:v>
      </x:c>
      <x:c r="D4" s="16" t="str">
        <x:v>Configured schedule/lux</x:v>
      </x:c>
      <x:c r="E4" s="16" t="str">
        <x:v>Lighting follows occupancy with delays</x:v>
      </x:c>
      <x:c r="F4" s="16" t="str">
        <x:v>Frozen</x:v>
      </x:c>
      <x:c r="G4" s="16" t="str"/>
    </x:row>
    <x:row r="5" ht="16.799999237060547" hidden="0" customHeight="1">
      <x:c r="A5" s="16" t="str">
        <x:v>C-02</x:v>
      </x:c>
      <x:c r="B5" s="16" t="str">
        <x:v>Movie</x:v>
      </x:c>
      <x:c r="C5" s="16" t="str">
        <x:v>Scene action</x:v>
      </x:c>
      <x:c r="D5" s="16" t="str">
        <x:v>Living occupied</x:v>
      </x:c>
      <x:c r="E5" s="16" t="str">
        <x:v>Dim lights; curtain close; optional compatible TV action</x:v>
      </x:c>
      <x:c r="F5" s="16" t="str">
        <x:v>Frozen</x:v>
      </x:c>
      <x:c r="G5" s="16" t="str"/>
    </x:row>
    <x:row r="6" ht="16.799999237060547" hidden="0" customHeight="1">
      <x:c r="A6" s="16" t="str">
        <x:v>C-02</x:v>
      </x:c>
      <x:c r="B6" s="16" t="str">
        <x:v>Reading</x:v>
      </x:c>
      <x:c r="C6" s="16" t="str">
        <x:v>Scene action</x:v>
      </x:c>
      <x:c r="D6" s="16" t="str"/>
      <x:c r="E6" s="16" t="str">
        <x:v>Brighter focused lighting</x:v>
      </x:c>
      <x:c r="F6" s="16" t="str">
        <x:v>Frozen</x:v>
      </x:c>
      <x:c r="G6" s="16" t="str"/>
    </x:row>
    <x:row r="7" ht="16.799999237060547" hidden="0" customHeight="1">
      <x:c r="A7" s="16" t="str">
        <x:v>C-02</x:v>
      </x:c>
      <x:c r="B7" s="16" t="str">
        <x:v>Relax</x:v>
      </x:c>
      <x:c r="C7" s="16" t="str">
        <x:v>Scene action</x:v>
      </x:c>
      <x:c r="D7" s="16" t="str"/>
      <x:c r="E7" s="16" t="str">
        <x:v>Dark warm lighting scene</x:v>
      </x:c>
      <x:c r="F7" s="16" t="str">
        <x:v>Frozen</x:v>
      </x:c>
      <x:c r="G7" s="16" t="str"/>
    </x:row>
    <x:row r="8" ht="16.799999237060547" hidden="0" customHeight="1">
      <x:c r="A8" s="16" t="str">
        <x:v>C-04</x:v>
      </x:c>
      <x:c r="B8" s="16" t="str">
        <x:v>Good Night</x:v>
      </x:c>
      <x:c r="C8" s="16" t="str">
        <x:v>Remote/screen/app scene</x:v>
      </x:c>
      <x:c r="D8" s="16" t="str"/>
      <x:c r="E8" s="16" t="str">
        <x:v>Lights settle; curtain close; split AC sleep setting; Night Path armed</x:v>
      </x:c>
      <x:c r="F8" s="16" t="str">
        <x:v>Frozen</x:v>
      </x:c>
      <x:c r="G8" s="16" t="str"/>
    </x:row>
    <x:row r="9" ht="16.799999237060547" hidden="0" customHeight="1">
      <x:c r="A9" s="16" t="str">
        <x:v>C-04</x:v>
      </x:c>
      <x:c r="B9" s="16" t="str">
        <x:v>Night Path</x:v>
      </x:c>
      <x:c r="C9" s="16" t="str">
        <x:v>PIR during sleep state</x:v>
      </x:c>
      <x:c r="D9" s="16" t="str">
        <x:v>Good Night active</x:v>
      </x:c>
      <x:c r="E9" s="16" t="str">
        <x:v>Low warm strip on briefly</x:v>
      </x:c>
      <x:c r="F9" s="16" t="str">
        <x:v>Frozen</x:v>
      </x:c>
      <x:c r="G9" s="16" t="str"/>
    </x:row>
    <x:row r="10" ht="16.799999237060547" hidden="0" customHeight="1">
      <x:c r="A10" s="16" t="str">
        <x:v>C-04</x:v>
      </x:c>
      <x:c r="B10" s="16" t="str">
        <x:v>Gentle Wake</x:v>
      </x:c>
      <x:c r="C10" s="16" t="str">
        <x:v>Configured weekday/weekend time</x:v>
      </x:c>
      <x:c r="D10" s="16" t="str"/>
      <x:c r="E10" s="16" t="str">
        <x:v>Lights brighten gradually; curtain opens</x:v>
      </x:c>
      <x:c r="F10" s="16" t="str">
        <x:v>Frozen</x:v>
      </x:c>
      <x:c r="G10" s="16" t="str"/>
    </x:row>
    <x:row r="11" ht="16.799999237060547" hidden="0" customHeight="1">
      <x:c r="A11" s="16" t="str">
        <x:v>C-05</x:v>
      </x:c>
      <x:c r="B11" s="16" t="str">
        <x:v>Shower Mode</x:v>
      </x:c>
      <x:c r="C11" s="16" t="str">
        <x:v>Manual scene</x:v>
      </x:c>
      <x:c r="D11" s="16" t="str"/>
      <x:c r="E11" s="16" t="str">
        <x:v>Compatible light/fan/heating circuits on; fan overrun</x:v>
      </x:c>
      <x:c r="F11" s="16" t="str">
        <x:v>Frozen</x:v>
      </x:c>
      <x:c r="G11" s="16" t="str">
        <x:v>No automatic heater start</x:v>
      </x:c>
    </x:row>
    <x:row r="12" ht="16.799999237060547" hidden="0" customHeight="1">
      <x:c r="A12" s="16" t="str">
        <x:v>C-06</x:v>
      </x:c>
      <x:c r="B12" s="16" t="str">
        <x:v>Leave Home</x:v>
      </x:c>
      <x:c r="C12" s="16" t="str">
        <x:v>Screen/app/assigned key</x:v>
      </x:c>
      <x:c r="D12" s="16" t="str"/>
      <x:c r="E12" s="16" t="str">
        <x:v>Start Home Check and countdown</x:v>
      </x:c>
      <x:c r="F12" s="16" t="str">
        <x:v>Frozen</x:v>
      </x:c>
      <x:c r="G12" s="16" t="str">
        <x:v>No default voice</x:v>
      </x:c>
    </x:row>
    <x:row r="13" ht="26.399999618530273" hidden="0" customHeight="1">
      <x:c r="A13" s="16" t="str">
        <x:v>C-06</x:v>
      </x:c>
      <x:c r="B13" s="16" t="str">
        <x:v>Away Mode</x:v>
      </x:c>
      <x:c r="C13" s="16" t="str">
        <x:v>Countdown complete</x:v>
      </x:c>
      <x:c r="D13" s="16" t="str">
        <x:v>Selected contacts closed/acknowledged</x:v>
      </x:c>
      <x:c r="E13" s="16" t="str">
        <x:v>Set existing connected Collection devices to away state</x:v>
      </x:c>
      <x:c r="F13" s="16" t="str">
        <x:v>Frozen</x:v>
      </x:c>
      <x:c r="G13" s="16" t="str"/>
    </x:row>
    <x:row r="14" ht="16.799999237060547" hidden="0" customHeight="1">
      <x:c r="A14" s="16" t="str">
        <x:v>C-06</x:v>
      </x:c>
      <x:c r="B14" s="16" t="str">
        <x:v>Holiday Mode</x:v>
      </x:c>
      <x:c r="C14" s="16" t="str">
        <x:v>Away active and customer enables</x:v>
      </x:c>
      <x:c r="D14" s="16" t="str">
        <x:v>Evening window</x:v>
      </x:c>
      <x:c r="E14" s="16" t="str">
        <x:v>Brief variable pattern using selected existing lights</x:v>
      </x:c>
      <x:c r="F14" s="16" t="str">
        <x:v>Frozen</x:v>
      </x:c>
      <x:c r="G14" s="16" t="str">
        <x:v>No curtains/locks/garage</x:v>
      </x:c>
    </x:row>
    <x:row r="15" ht="26.399999618530273" hidden="0" customHeight="1">
      <x:c r="A15" s="16" t="str">
        <x:v>E-01</x:v>
      </x:c>
      <x:c r="B15" s="16" t="str">
        <x:v>Hourly Light Clock</x:v>
      </x:c>
      <x:c r="C15" s="16" t="str">
        <x:v>Bedroom Night Path trigger</x:v>
      </x:c>
      <x:c r="D15" s="16" t="str">
        <x:v>Good Night active, 10pm-7am default</x:v>
      </x:c>
      <x:c r="E15" s="16" t="str">
        <x:v>Show unique hourly colour</x:v>
      </x:c>
      <x:c r="F15" s="16" t="str">
        <x:v>Frozen</x:v>
      </x:c>
      <x:c r="G15" s="16" t="str">
        <x:v>Customer adjustable</x:v>
      </x:c>
    </x:row>
    <x:row r="16" ht="26.399999618530273" hidden="0" customHeight="1">
      <x:c r="A16" s="16" t="str">
        <x:v>E-02</x:v>
      </x:c>
      <x:c r="B16" s="16" t="str">
        <x:v>Comfort Follows You</x:v>
      </x:c>
      <x:c r="C16" s="16" t="str">
        <x:v>Occupancy and temperature change</x:v>
      </x:c>
      <x:c r="D16" s="16" t="str">
        <x:v>Delays and HVAC limits satisfied</x:v>
      </x:c>
      <x:c r="E16" s="16" t="str">
        <x:v>Open relevant existing zone; close inactive zones safely</x:v>
      </x:c>
      <x:c r="F16" s="16" t="str">
        <x:v>Frozen</x:v>
      </x:c>
      <x:c r="G16" s="16" t="str"/>
    </x:row>
    <x:row r="17" ht="16.799999237060547" hidden="0" customHeight="1">
      <x:c r="A17" s="16" t="str">
        <x:v>E-03</x:v>
      </x:c>
      <x:c r="B17" s="16" t="str">
        <x:v>Balanced Exchange</x:v>
      </x:c>
      <x:c r="C17" s="16" t="str">
        <x:v>Air recovery demand</x:v>
      </x:c>
      <x:c r="D17" s="16" t="str">
        <x:v>Outdoor AQI suitable</x:v>
      </x:c>
      <x:c r="E17" s="16" t="str">
        <x:v>Supply and extract on</x:v>
      </x:c>
      <x:c r="F17" s="16" t="str">
        <x:v>Frozen</x:v>
      </x:c>
      <x:c r="G17" s="16" t="str"/>
    </x:row>
    <x:row r="18" ht="16.799999237060547" hidden="0" customHeight="1">
      <x:c r="A18" s="16" t="str">
        <x:v>E-03</x:v>
      </x:c>
      <x:c r="B18" s="16" t="str">
        <x:v>Extract Priority</x:v>
      </x:c>
      <x:c r="C18" s="16" t="str">
        <x:v>Air recovery demand</x:v>
      </x:c>
      <x:c r="D18" s="16" t="str">
        <x:v>Outdoor AQI poor</x:v>
      </x:c>
      <x:c r="E18" s="16" t="str">
        <x:v>Supply off; extract on</x:v>
      </x:c>
      <x:c r="F18" s="16" t="str">
        <x:v>Frozen</x:v>
      </x:c>
      <x:c r="G18" s="16" t="str">
        <x:v>No claim of preventing infiltration</x:v>
      </x:c>
    </x:row>
    <x:row r="19" ht="39.599998474121094" hidden="0" customHeight="1">
      <x:c r="A19" s="16" t="str">
        <x:v>E-03</x:v>
      </x:c>
      <x:c r="B19" s="16" t="str">
        <x:v>Natural Cooling</x:v>
      </x:c>
      <x:c r="C19" s="16" t="str">
        <x:v>Indoor warm</x:v>
      </x:c>
      <x:c r="D19" s="16" t="str">
        <x:v>Online outdoor temperature materially cooler and AQI suitable</x:v>
      </x:c>
      <x:c r="E19" s="16" t="str">
        <x:v>Supply and extract outdoor air instead of additional cooling demand</x:v>
      </x:c>
      <x:c r="F19" s="16" t="str">
        <x:v>Frozen</x:v>
      </x:c>
      <x:c r="G19" s="16" t="str"/>
    </x:row>
    <x:row r="20" ht="16.799999237060547" hidden="0" customHeight="1">
      <x:c r="A20" s="16" t="str">
        <x:v>E-04</x:v>
      </x:c>
      <x:c r="B20" s="16" t="str">
        <x:v>Sequential Watering</x:v>
      </x:c>
      <x:c r="C20" s="16" t="str">
        <x:v>Schedule</x:v>
      </x:c>
      <x:c r="D20" s="16" t="str">
        <x:v>No rain delay</x:v>
      </x:c>
      <x:c r="E20" s="16" t="str">
        <x:v>Run one configured zone at a time</x:v>
      </x:c>
      <x:c r="F20" s="16" t="str">
        <x:v>Frozen</x:v>
      </x:c>
      <x:c r="G20" s="16" t="str">
        <x:v>Four included; up to eight</x:v>
      </x:c>
    </x:row>
    <x:row r="21" ht="26.399999618530273" hidden="0" customHeight="1">
      <x:c r="A21" s="16" t="str">
        <x:v>E-05</x:v>
      </x:c>
      <x:c r="B21" s="16" t="str">
        <x:v>Visible Protection Response</x:v>
      </x:c>
      <x:c r="C21" s="16" t="str">
        <x:v>NVR alarm output</x:v>
      </x:c>
      <x:c r="D21" s="16" t="str">
        <x:v>Away active; Entry + Away + CCTV present</x:v>
      </x:c>
      <x:c r="E21" s="16" t="str">
        <x:v>Trigger camera white light; front-visible lights slow flash then remain on briefly</x:v>
      </x:c>
      <x:c r="F21" s="16" t="str">
        <x:v>Frozen</x:v>
      </x:c>
      <x:c r="G21" s="16" t="str">
        <x:v>No audio alarm</x:v>
      </x:c>
    </x:row>
    <x:row r="22" ht="16.799999237060547" hidden="0" customHeight="1">
      <x:c r="A22" s="16" t="str">
        <x:v>E-06</x:v>
      </x:c>
      <x:c r="B22" s="16" t="str">
        <x:v>Smart Event Recording</x:v>
      </x:c>
      <x:c r="C22" s="16" t="str">
        <x:v>Human/vehicle event</x:v>
      </x:c>
      <x:c r="D22" s="16" t="str">
        <x:v>Configured camera region</x:v>
      </x:c>
      <x:c r="E22" s="16" t="str">
        <x:v>Record, notify and activate camera white light</x:v>
      </x:c>
      <x:c r="F22" s="16" t="str">
        <x:v>Frozen</x:v>
      </x:c>
      <x:c r="G22" s="16" t="str">
        <x:v>Lab validation required before deployment</x:v>
      </x:c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  <x:row r="31">
      <x:c r="A31"/>
      <x:c r="B31"/>
      <x:c r="C31"/>
      <x:c r="D31"/>
      <x:c r="E31"/>
      <x:c r="F31"/>
      <x:c r="G31"/>
    </x:row>
    <x:row r="32">
      <x:c r="A32"/>
      <x:c r="B32"/>
      <x:c r="C32"/>
      <x:c r="D32"/>
      <x:c r="E32"/>
      <x:c r="F32"/>
      <x:c r="G32"/>
    </x:row>
    <x:row r="33">
      <x:c r="A33"/>
      <x:c r="B33"/>
      <x:c r="C33"/>
      <x:c r="D33"/>
      <x:c r="E33"/>
      <x:c r="F33"/>
      <x:c r="G33"/>
    </x:row>
  </x:sheetData>
  <x:pageMargins left="0.7" right="0.7" top="0.75" bottom="0.75" header="0.3" footer="0.3"/>
  <x:tableParts count="1">
    <x:tablePart xmlns:r="http://schemas.openxmlformats.org/officeDocument/2006/relationships" r:id="R123dc6bab41d4da8"/>
  </x:tableParts>
</x:worksheet>
</file>

<file path=xl/worksheets/sheet21.xml><?xml version="1.0" encoding="utf-8"?>
<x:worksheet xmlns:x="http://schemas.openxmlformats.org/spreadsheetml/2006/main">
  <x:sheetFormatPr defaultColWidth="9" defaultRowHeight="16.799999237060547"/>
  <x:cols>
    <x:col min="1" max="1" width="18" customWidth="1"/>
    <x:col min="2" max="2" width="14" customWidth="1"/>
    <x:col min="3" max="3" width="12" customWidth="1"/>
    <x:col min="4" max="4" width="60" customWidth="1"/>
  </x:cols>
  <x:sheetData>
    <x:row r="1" ht="16.799999237060547" hidden="0" customHeight="1">
      <x:c r="A1" s="27" t="str">
        <x:v>Product</x:v>
      </x:c>
      <x:c r="B1" s="27" t="str">
        <x:v>Status</x:v>
      </x:c>
      <x:c r="C1" s="27" t="str">
        <x:v>Price incl GST</x:v>
      </x:c>
      <x:c r="D1" s="27" t="str">
        <x:v>Review Notes</x:v>
      </x:c>
    </x:row>
    <x:row r="2" ht="16.799999237060547" hidden="0" customHeight="1">
      <x:c r="A2" s="16" t="str">
        <x:v>Foundation</x:v>
      </x:c>
      <x:c r="B2" s="16" t="str">
        <x:v>Frozen</x:v>
      </x:c>
      <x:c r="C2" s="16" t="n">
        <x:v>4999</x:v>
      </x:c>
      <x:c r="D2" s="16" t="str">
        <x:v>Mandatory once per Better Home project. Standard 10-inch screen.</x:v>
      </x:c>
    </x:row>
    <x:row r="3" ht="16.799999237060547" hidden="0" customHeight="1">
      <x:c r="A3" s="16" t="str">
        <x:v>Entry Collection</x:v>
      </x:c>
      <x:c r="B3" s="16" t="str">
        <x:v>Frozen</x:v>
      </x:c>
      <x:c r="C3" s="16" t="n">
        <x:v>2499</x:v>
      </x:c>
      <x:c r="D3" s="16" t="str">
        <x:v>No One Touch Leave. Wireless video doorbell; wired intercom quoted separately.</x:v>
      </x:c>
    </x:row>
    <x:row r="4" ht="16.799999237060547" hidden="0" customHeight="1">
      <x:c r="A4" s="16" t="str">
        <x:v>Living Collection</x:v>
      </x:c>
      <x:c r="B4" s="16" t="str">
        <x:v>Frozen</x:v>
      </x:c>
      <x:c r="C4" s="16" t="n">
        <x:v>2999</x:v>
      </x:c>
      <x:c r="D4" s="16" t="str">
        <x:v>Includes one compatible split AC IR control and one warm ambient zone.</x:v>
      </x:c>
    </x:row>
    <x:row r="5" ht="16.799999237060547" hidden="0" customHeight="1">
      <x:c r="A5" s="16" t="str">
        <x:v>Kitchen Collection</x:v>
      </x:c>
      <x:c r="B5" s="16" t="str">
        <x:v>Frozen</x:v>
      </x:c>
      <x:c r="C5" s="16" t="n">
        <x:v>2499</x:v>
      </x:c>
      <x:c r="D5" s="16" t="str">
        <x:v>Healthy Air remains a separate Experience Pack.</x:v>
      </x:c>
    </x:row>
    <x:row r="6" ht="16.799999237060547" hidden="0" customHeight="1">
      <x:c r="A6" s="16" t="str">
        <x:v>Bedroom Collection</x:v>
      </x:c>
      <x:c r="B6" s="16" t="str">
        <x:v>Frozen</x:v>
      </x:c>
      <x:c r="C6" s="16" t="n">
        <x:v>2699</x:v>
      </x:c>
      <x:c r="D6" s="16" t="str">
        <x:v>Includes two identical four-button bedside scene remotes.</x:v>
      </x:c>
    </x:row>
    <x:row r="7" ht="16.799999237060547" hidden="0" customHeight="1">
      <x:c r="A7" s="16" t="str">
        <x:v>Bathroom Collection</x:v>
      </x:c>
      <x:c r="B7" s="16" t="str">
        <x:v>Frozen</x:v>
      </x:c>
      <x:c r="C7" s="16" t="n">
        <x:v>2199</x:v>
      </x:c>
      <x:c r="D7" s="16" t="str">
        <x:v>Controls one existing compatible exhaust fan; fan body excluded.</x:v>
      </x:c>
    </x:row>
    <x:row r="8" ht="16.799999237060547" hidden="0" customHeight="1">
      <x:c r="A8" s="16" t="str">
        <x:v>Away Collection</x:v>
      </x:c>
      <x:c r="B8" s="16" t="str">
        <x:v>Frozen</x:v>
      </x:c>
      <x:c r="C8" s="16" t="n">
        <x:v>1499</x:v>
      </x:c>
      <x:c r="D8" s="16" t="str">
        <x:v>Includes four wireless contacts. Not alarm or security monitoring.</x:v>
      </x:c>
    </x:row>
    <x:row r="9" ht="16.799999237060547" hidden="0" customHeight="1">
      <x:c r="A9" s="16" t="str">
        <x:v>Mood Lighting</x:v>
      </x:c>
      <x:c r="B9" s="16" t="str">
        <x:v>Frozen</x:v>
      </x:c>
      <x:c r="C9" s="16" t="n">
        <x:v>1499</x:v>
      </x:c>
      <x:c r="D9" s="16" t="str">
        <x:v>Two colour zones, total 10m, plus two colour bulbs.</x:v>
      </x:c>
    </x:row>
    <x:row r="10" ht="16.799999237060547" hidden="0" customHeight="1">
      <x:c r="A10" s="16" t="str">
        <x:v>Climate</x:v>
      </x:c>
      <x:c r="B10" s="16" t="str">
        <x:v>Frozen</x:v>
      </x:c>
      <x:c r="C10" s="16" t="n">
        <x:v>2699</x:v>
      </x:c>
      <x:c r="D10" s="16" t="str">
        <x:v>Existing operational HVAC and zone motors only. Zones 7-12 expansion $1,299.</x:v>
      </x:c>
    </x:row>
    <x:row r="11" ht="16.799999237060547" hidden="0" customHeight="1">
      <x:c r="A11" s="16" t="str">
        <x:v>Healthy Air</x:v>
      </x:c>
      <x:c r="B11" s="16" t="str">
        <x:v>Frozen</x:v>
      </x:c>
      <x:c r="C11" s="16" t="n">
        <x:v>2999</x:v>
      </x:c>
      <x:c r="D11" s="16" t="str">
        <x:v>Provisional price; first installation review required. No filters or PM2.5 claim.</x:v>
      </x:c>
    </x:row>
    <x:row r="12" ht="16.799999237060547" hidden="0" customHeight="1">
      <x:c r="A12" s="16" t="str">
        <x:v>Garden Care</x:v>
      </x:c>
      <x:c r="B12" s="16" t="str">
        <x:v>Frozen</x:v>
      </x:c>
      <x:c r="C12" s="16" t="n">
        <x:v>2999</x:v>
      </x:c>
      <x:c r="D12" s="16" t="str">
        <x:v>Control infrastructure only. Standard 4 configured zones; hardware capacity 8.</x:v>
      </x:c>
    </x:row>
    <x:row r="13" ht="26.399999618530273" hidden="0" customHeight="1">
      <x:c r="A13" s="16" t="str">
        <x:v>Protection Bonus</x:v>
      </x:c>
      <x:c r="B13" s="16" t="str">
        <x:v>Frozen</x:v>
      </x:c>
      <x:c r="C13" s="16" t="n">
        <x:v>0</x:v>
      </x:c>
      <x:c r="D13" s="16" t="str">
        <x:v>Not separately purchasable. Camera white light and selected front-visible lights respond.</x:v>
      </x:c>
    </x:row>
    <x:row r="14" ht="16.799999237060547" hidden="0" customHeight="1">
      <x:c r="A14" s="16" t="str">
        <x:v>CCTV</x:v>
      </x:c>
      <x:c r="B14" s="16" t="str">
        <x:v>Frozen</x:v>
      </x:c>
      <x:c r="C14" s="16" t="n">
        <x:v>3999</x:v>
      </x:c>
      <x:c r="D14" s="16" t="str">
        <x:v>From price. 4 HiLook 8MP cameras, Hikvision 8-channel VPro NVR, 4TB.</x:v>
      </x:c>
    </x:row>
    <x:row r="15" ht="16.799999237060547" hidden="0" customHeight="1">
      <x:c r="A15" s="16" t="str">
        <x:v>Smart Toilet</x:v>
      </x:c>
      <x:c r="B15" s="16" t="str">
        <x:v>Frozen</x:v>
      </x:c>
      <x:c r="C15" s="16" t="n">
        <x:v>3299</x:v>
      </x:c>
      <x:c r="D15" s="16" t="str">
        <x:v>Supply only. Delivery, plumbing and electrical work excluded.</x:v>
      </x:c>
    </x:row>
    <x:row r="16" ht="16.799999237060547" hidden="0" customHeight="1">
      <x:c r="A16" s="16" t="str">
        <x:v>A4 Sales Sheet Count</x:v>
      </x:c>
      <x:c r="B16" s="16" t="str">
        <x:v>Confirmed</x:v>
      </x:c>
      <x:c r="C16" s="16" t="n">
        <x:v>15</x:v>
      </x:c>
      <x:c r="D16" s="16" t="str">
        <x:v>Protection is embedded bonus; Add-on Guide is a separate A4</x:v>
      </x:c>
    </x:row>
    <x:row r="17">
      <x:c r="A17"/>
      <x:c r="B17"/>
      <x:c r="C17"/>
      <x:c r="D17"/>
    </x:row>
    <x:row r="18">
      <x:c r="A18"/>
      <x:c r="B18"/>
      <x:c r="C18"/>
      <x:c r="D18"/>
    </x:row>
  </x:sheetData>
  <x:pageMargins left="0.7" right="0.7" top="0.75" bottom="0.75" header="0.3" footer="0.3"/>
  <x:tableParts count="1">
    <x:tablePart xmlns:r="http://schemas.openxmlformats.org/officeDocument/2006/relationships" r:id="R067a49f183084e78"/>
  </x:tableParts>
</x:worksheet>
</file>

<file path=xl/worksheets/sheet22.xml><?xml version="1.0" encoding="utf-8"?>
<x:worksheet xmlns:x="http://schemas.openxmlformats.org/spreadsheetml/2006/main">
  <x:sheetFormatPr defaultColWidth="9" defaultRowHeight="16.799999237060547"/>
  <x:cols>
    <x:col min="1" max="2" width="14" customWidth="1"/>
    <x:col min="3" max="3" width="82" hidden="0" customWidth="1"/>
    <x:col min="4" max="4" width="80" customWidth="1"/>
    <x:col min="1" max="1" width="13" hidden="0" customWidth="1"/>
    <x:col min="2" max="2" width="23" hidden="0" customWidth="1"/>
  </x:cols>
  <x:sheetData>
    <x:row r="1" ht="16.799999237060547" hidden="0" customHeight="1">
      <x:c r="A1" s="27" t="str">
        <x:v>Version</x:v>
      </x:c>
      <x:c r="B1" s="27" t="str">
        <x:v>Product</x:v>
      </x:c>
      <x:c r="C1" s="27" t="str">
        <x:v>Status</x:v>
      </x:c>
      <x:c r="D1" s="1"/>
    </x:row>
    <x:row r="2" ht="16.799999237060547" hidden="0" customHeight="1">
      <x:c r="A2" s="16" t="str">
        <x:v>V2.06</x:v>
      </x:c>
      <x:c r="B2" s="16" t="str">
        <x:v>All products</x:v>
      </x:c>
      <x:c r="C2" s="16" t="str">
        <x:v>Reconciled customer prices as incl GST and costs as ex GST</x:v>
      </x:c>
    </x:row>
    <x:row r="3" ht="16.799999237060547" hidden="0" customHeight="1">
      <x:c r="A3" s="16" t="str">
        <x:v>V2.06</x:v>
      </x:c>
      <x:c r="B3" s="16" t="str">
        <x:v>A4 System</x:v>
      </x:c>
      <x:c r="C3" s="16" t="str">
        <x:v>Confirmed 15-sheet sales architecture</x:v>
      </x:c>
    </x:row>
    <x:row r="4" ht="16.799999237060547" hidden="0" customHeight="1">
      <x:c r="A4" s="16" t="str">
        <x:v>V2.06</x:v>
      </x:c>
      <x:c r="B4" s="16" t="str">
        <x:v>Entry</x:v>
      </x:c>
      <x:c r="C4" s="16" t="str">
        <x:v>Removed Smart Display and One Touch Leave; added indoor occupancy and garage relay</x:v>
      </x:c>
    </x:row>
    <x:row r="5" ht="26.399999618530273" hidden="0" customHeight="1">
      <x:c r="A5" s="16" t="str">
        <x:v>V2.06</x:v>
      </x:c>
      <x:c r="B5" s="16" t="str">
        <x:v>Living / Bedroom / Kitchen / Bathroom</x:v>
      </x:c>
      <x:c r="C5" s="16" t="str">
        <x:v>Replaced on/off LED relay concept with 24V dimmable controller, PSU and silicone strip</x:v>
      </x:c>
    </x:row>
    <x:row r="6" ht="16.799999237060547" hidden="0" customHeight="1">
      <x:c r="A6" s="16" t="str">
        <x:v>V2.06</x:v>
      </x:c>
      <x:c r="B6" s="16" t="str">
        <x:v>Bedroom</x:v>
      </x:c>
      <x:c r="C6" s="16" t="str">
        <x:v>Added two four-button bedside scene remotes</x:v>
      </x:c>
    </x:row>
    <x:row r="7" ht="16.799999237060547" hidden="0" customHeight="1">
      <x:c r="A7" s="16" t="str">
        <x:v>V2.06</x:v>
      </x:c>
      <x:c r="B7" s="16" t="str">
        <x:v>Away</x:v>
      </x:c>
      <x:c r="C7" s="16" t="str">
        <x:v>Four contacts; price reduced to $1,499</x:v>
      </x:c>
    </x:row>
    <x:row r="8" ht="16.799999237060547" hidden="0" customHeight="1">
      <x:c r="A8" s="16" t="str">
        <x:v>V2.06</x:v>
      </x:c>
      <x:c r="B8" s="16" t="str">
        <x:v>Climate</x:v>
      </x:c>
      <x:c r="C8" s="16" t="str">
        <x:v>Price $2,699; six zones; zones 7-12 expansion $1,299</x:v>
      </x:c>
    </x:row>
    <x:row r="9" ht="16.799999237060547" hidden="0" customHeight="1">
      <x:c r="A9" s="16" t="str">
        <x:v>V2.06</x:v>
      </x:c>
      <x:c r="B9" s="16" t="str">
        <x:v>Healthy Air</x:v>
      </x:c>
      <x:c r="C9" s="16" t="str">
        <x:v>Added sensor, paired fans, duct/grille scope and provisional $2,999 price</x:v>
      </x:c>
    </x:row>
    <x:row r="10" ht="16.799999237060547" hidden="0" customHeight="1">
      <x:c r="A10" s="16" t="str">
        <x:v>V2.06</x:v>
      </x:c>
      <x:c r="B10" s="16" t="str">
        <x:v>Garden Care</x:v>
      </x:c>
      <x:c r="C10" s="16" t="str">
        <x:v>Two relay boxes; four configured/eight capacity; landscaper owns water-side work</x:v>
      </x:c>
    </x:row>
    <x:row r="11" ht="16.799999237060547" hidden="0" customHeight="1">
      <x:c r="A11" s="16" t="str">
        <x:v>V2.06</x:v>
      </x:c>
      <x:c r="B11" s="16" t="str">
        <x:v>CCTV</x:v>
      </x:c>
      <x:c r="C11" s="16" t="str">
        <x:v>Four HiLook 8MP cameras, VPro 8-channel NVR/4TB, event input; $3,999</x:v>
      </x:c>
    </x:row>
    <x:row r="12" ht="16.799999237060547" hidden="0" customHeight="1">
      <x:c r="A12" s="16" t="str">
        <x:v>V2.06</x:v>
      </x:c>
      <x:c r="B12" s="16" t="str">
        <x:v>Protection</x:v>
      </x:c>
      <x:c r="C12" s="16" t="str">
        <x:v>Converted to free dependency bonus; not separately purchasable</x:v>
      </x:c>
    </x:row>
    <x:row r="13" ht="16.799999237060547" hidden="0" customHeight="1">
      <x:c r="A13" s="16" t="str">
        <x:v>V2.06</x:v>
      </x:c>
      <x:c r="B13" s="16" t="str">
        <x:v>Smart Toilet</x:v>
      </x:c>
      <x:c r="C13" s="16" t="str">
        <x:v>Independent supply-only product at $3,299</x:v>
      </x:c>
    </x:row>
    <x:row r="14" ht="16.799999237060547" hidden="0" customHeight="1">
      <x:c r="A14" s="16" t="str">
        <x:v>V2.06</x:v>
      </x:c>
      <x:c r="B14" s="16" t="str">
        <x:v>Add-ons</x:v>
      </x:c>
      <x:c r="C14" s="16" t="str">
        <x:v>Created frozen shared Add-on price catalogue</x:v>
      </x:c>
    </x:row>
    <x:row r="15" ht="16.799999237060547" hidden="0" customHeight="1">
      <x:c r="A15" t="str">
        <x:v>V2.07</x:v>
      </x:c>
      <x:c r="B15" t="str">
        <x:v>Product Language</x:v>
      </x:c>
      <x:c r="C15" t="str">
        <x:v>Canonical customer hierarchy frozen as Foundation → Collection → Experience → Add-on</x:v>
      </x:c>
    </x:row>
    <x:row r="16" ht="16.799999237060547" hidden="0" customHeight="1">
      <x:c r="A16" t="str">
        <x:v>V2.07</x:v>
      </x:c>
      <x:c r="B16" t="str">
        <x:v>Add-ons</x:v>
      </x:c>
      <x:c r="C16" t="str">
        <x:v>Added canonical product name, Experience Promise and Standard Scope Unit for all 32 Add-ons</x:v>
      </x:c>
    </x:row>
    <x:row r="17" ht="16.799999237060547" hidden="0" customHeight="1">
      <x:c r="A17" t="str">
        <x:v>V2.07</x:v>
      </x:c>
      <x:c r="B17" t="str">
        <x:v>Channel Consistency</x:v>
      </x:c>
      <x:c r="C17" t="str">
        <x:v>Canonical Add-on names now serve A4, website, proposal, configurator, contract and work-order layers</x:v>
      </x:c>
    </x:row>
    <x:row r="18"/>
    <x:row r="19"/>
    <x:row r="20"/>
  </x:sheetData>
  <x:pageMargins left="0.7" right="0.7" top="0.75" bottom="0.75" header="0.3" footer="0.3"/>
  <x:tableParts count="1">
    <x:tablePart xmlns:r="http://schemas.openxmlformats.org/officeDocument/2006/relationships" r:id="R5acae27c2c4041db"/>
  </x:tableParts>
</x:worksheet>
</file>